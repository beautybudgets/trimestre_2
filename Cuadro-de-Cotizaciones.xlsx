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rre admin" sheetId="1" r:id="rId4"/>
    <sheet state="visible" name="Monitor Admin" sheetId="2" r:id="rId5"/>
    <sheet state="visible" name="DiscoSolido Admin" sheetId="3" r:id="rId6"/>
    <sheet state="visible" name="Disco duro interno Admin" sheetId="4" r:id="rId7"/>
    <sheet state="visible" name="Servidor Admin" sheetId="5" r:id="rId8"/>
    <sheet state="visible" name="ram Admin" sheetId="6" r:id="rId9"/>
    <sheet state="visible" name="Teclado Admin" sheetId="7" r:id="rId10"/>
    <sheet state="visible" name="Mause Admin" sheetId="8" r:id="rId11"/>
    <sheet state="visible" name="Portatil Nosotros" sheetId="9" r:id="rId12"/>
    <sheet state="visible" name="Monitor Nosotros" sheetId="10" r:id="rId13"/>
    <sheet state="visible" name=" Disco mecanico Nosotros" sheetId="11" r:id="rId14"/>
    <sheet state="visible" name=" Servidor Nosotros" sheetId="12" r:id="rId15"/>
    <sheet state="visible" name=" ram nosotros" sheetId="13" r:id="rId16"/>
    <sheet state="visible" name="Tarjeta de video nosotros" sheetId="14" r:id="rId17"/>
    <sheet state="visible" name="Procesador Nosotros" sheetId="15" r:id="rId18"/>
    <sheet state="visible" name="Teclado nosostros " sheetId="16" r:id="rId19"/>
    <sheet state="visible" name="Muse nosotros" sheetId="17" r:id="rId20"/>
    <sheet state="visible" name="software licencia" sheetId="18" r:id="rId21"/>
    <sheet state="visible" name="licencia visual" sheetId="19" r:id="rId22"/>
    <sheet state="visible" name="windows 11 licencia" sheetId="20" r:id="rId23"/>
    <sheet state="visible" name="licencia SQL" sheetId="21" r:id="rId24"/>
  </sheets>
  <definedNames/>
  <calcPr/>
  <extLst>
    <ext uri="GoogleSheetsCustomDataVersion2">
      <go:sheetsCustomData xmlns:go="http://customooxmlschemas.google.com/" r:id="rId25" roundtripDataChecksum="29Wk2coJQmnMZj1k3Xiz/b2jSpDG9uB7NWV0I0rY08M="/>
    </ext>
  </extLst>
</workbook>
</file>

<file path=xl/sharedStrings.xml><?xml version="1.0" encoding="utf-8"?>
<sst xmlns="http://schemas.openxmlformats.org/spreadsheetml/2006/main" count="659" uniqueCount="422">
  <si>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</si>
  <si>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</si>
  <si>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</si>
  <si>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</si>
  <si>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</si>
  <si>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</si>
  <si>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</si>
  <si>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</si>
  <si>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</si>
  <si>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</si>
  <si>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</si>
  <si>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</si>
  <si>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</si>
  <si>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 xml:space="preserve">MERCADO LIBRE </t>
  </si>
  <si>
    <t>https://articulo.mercadolibre.com.co/MCO-1194697164-cpu-torre-core-i5-16ramhd500-monitor-19-_JM#position=27&amp;search_layout=stack&amp;type=item&amp;tracking_id=22ccce83-15fd-498b-821b-fb60ba69422b</t>
  </si>
  <si>
    <t>Cpu Torre Core I5 +16ram+hd500 Monitor 19</t>
  </si>
  <si>
    <t>CONTADO</t>
  </si>
  <si>
    <t>Computador de gran alcance con procesador Intel core i5, acondicionado para ejecutar multitareas administrativas, domesticas, educativas e interactivas a gran velocidad</t>
  </si>
  <si>
    <t xml:space="preserve">Nº2 </t>
  </si>
  <si>
    <t xml:space="preserve">PC WARE </t>
  </si>
  <si>
    <t>https://www.pcware.com.co/xpg-starker-atx-1-fan-cooler-argb-vidrio-templado-x1-1-fan-cooler-standard-fuente-de-poder-xpg-probe-600-watts-certificada-80-plus-bronze-negro-by-adata</t>
  </si>
  <si>
    <t>XPG STARKER ATX/ 1 Fan Cooler ARGB / Vidrio Templado X1 /+ 1 Fan Cooler Standard/+ Fuente De Poder XPG PROBE / 600 Watts / Certificada 80 Plus Bronze/Negro-By ADATA</t>
  </si>
  <si>
    <t>En PcWare encuentras de forma fácil un gran catálogo el componente o partes de pc al mejor precio</t>
  </si>
  <si>
    <t>Nº 3</t>
  </si>
  <si>
    <t xml:space="preserve">POWER DEAL </t>
  </si>
  <si>
    <t>https://powerdeal.com.co/collections/pc-gamer-ensamblados/products/pc-torre-ghost-amd-ryzen-athlon-3000g-8gb-ssd-500-gb-sata-pd</t>
  </si>
  <si>
    <t>CPU GAMER ATROX ATHLON 3000G</t>
  </si>
  <si>
    <t>Computador gamer de escritorio</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</si>
  <si>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</si>
  <si>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</si>
  <si>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Empresa</t>
    </r>
    <r>
      <rPr>
        <rFont val="Arial"/>
        <b val="0"/>
        <i/>
        <color theme="1"/>
        <sz val="10.0"/>
      </rPr>
      <t xml:space="preserve">
(Nombre fiscal de la empresa)</t>
    </r>
  </si>
  <si>
    <r>
      <rPr>
        <rFont val="Arial"/>
        <b/>
        <color theme="1"/>
        <sz val="10.0"/>
      </rPr>
      <t>Nº de CUIT, Dirección, Teléfono</t>
    </r>
    <r>
      <rPr>
        <rFont val="Arial"/>
        <b val="0"/>
        <i/>
        <color theme="1"/>
        <sz val="10.0"/>
      </rPr>
      <t xml:space="preserve">
(Datos de la empresa)</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</si>
  <si>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</si>
  <si>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</si>
  <si>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</si>
  <si>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</si>
  <si>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</si>
  <si>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</si>
  <si>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t>Mercado libre</t>
  </si>
  <si>
    <t>https://www.mercadolibre.com.co/monitor-curvo-27-fhd-diseno-sin-bordes-color-black-100v240v/p/MCO17431651?pdp_filters=category%3AMCO1656&amp;quantity=3</t>
  </si>
  <si>
    <t>Monitor Curvo 27 Fhd Diseño Sin Bordes Color Black 100V/240V</t>
  </si>
  <si>
    <t>Tiene una resolución de 1920px-1080px.</t>
  </si>
  <si>
    <t xml:space="preserve">ALKOSTO </t>
  </si>
  <si>
    <t>https://www.alkosto.com/monitor-samsung-gamer-24-pulgadas-g320nl-plano-negro/p/8806094113846</t>
  </si>
  <si>
    <t>Monitor Samsung Gamer 24" pulgadas G320NL Plano Negro</t>
  </si>
  <si>
    <t>Stand ergonómico con ajuste en altura, inclinación y pivote</t>
  </si>
  <si>
    <t>https://www.alkosto.com/monitor-samsung-32-pulgadas-cm500-smart-display-negro/p/8806095020167</t>
  </si>
  <si>
    <t>Monitor SAMSUNG 32" Pulgadas CM500 Smart Display Negro</t>
  </si>
  <si>
    <t>Pantalla FHD, Gran nitidez, calidad de imagen y contraste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</si>
  <si>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</si>
  <si>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</si>
  <si>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</si>
  <si>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</si>
  <si>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</si>
  <si>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</si>
  <si>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</si>
  <si>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</si>
  <si>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</si>
  <si>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</si>
  <si>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https://www.mercadolibre.com.co/disco-solido-ssd-interno-crucial-ct500bx500ssd1-500gb-negro/p/MCO19614825?pdp_filters=category:MCO1672#searchVariation=MCO19614825&amp;position=2&amp;search_layout=stack&amp;type=product&amp;tracking_id=aa8e5d63-5d99-467d-8939-e0e1b492ed9b</t>
  </si>
  <si>
    <t>Disco sólido SSD interno Crucial CT500BX500SSD1 500GB negro</t>
  </si>
  <si>
    <t xml:space="preserve">CONTADO </t>
  </si>
  <si>
    <t>Útil para guardar programas y documentos con su capacidad de 500 GB.</t>
  </si>
  <si>
    <t xml:space="preserve">FALABELLA </t>
  </si>
  <si>
    <t>https://www.falabella.com.co/falabella-co/product/118315377/Unidad-Estado-Solido-SSD-Interno-Adata-XPG-S40G-1TB/118315378</t>
  </si>
  <si>
    <t>Unidad Estado Solido SSD Interno Adata XPG S40G 1TB</t>
  </si>
  <si>
    <t>Con velocidades de lectura y escritura sostenidas de hasta 3500/3000 MB por segundo, iluminación RGB personalizable y una gran cantidad de características que mejoran el rendimiento</t>
  </si>
  <si>
    <t>HI TECH</t>
  </si>
  <si>
    <t>152 #96-90 Suba Bogotá D.C</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</si>
  <si>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</si>
  <si>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</si>
  <si>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</si>
  <si>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</si>
  <si>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</si>
  <si>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</si>
  <si>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</si>
  <si>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</si>
  <si>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</si>
  <si>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</si>
  <si>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´MERCADO LIBRE </t>
  </si>
  <si>
    <t>https://www.mercadolibre.com.co/disco-solido-ssd-interno-kingston-sa400s37240gb-negro/p/MCO19035706?pdp_filters=category:MCO1672#searchVariation=MCO19035706&amp;position=7&amp;search_layout=stack&amp;type=product&amp;tracking_id=d2347602-d832-46e2-b62a-c4c325617137</t>
  </si>
  <si>
    <t>Disco sólido SSD interno Kingston SA400S37/240GB Negro</t>
  </si>
  <si>
    <t>El Kingston A400 SA400S37/240G 240 GB ofrece una transferencia de datos de 550 MB/s en lectura y 490 MB/s en escritura, para un rendimiento óptimo.</t>
  </si>
  <si>
    <t xml:space="preserve">KTRONIX </t>
  </si>
  <si>
    <t>https://www.ktronix.com/disco-duro-toshiba-basic-2tb/p/723844001346</t>
  </si>
  <si>
    <t>Disco Duro TOSHIBA Basic 2TB</t>
  </si>
  <si>
    <t>Systestore</t>
  </si>
  <si>
    <t>(314) 251 26 38</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</si>
  <si>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</si>
  <si>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</si>
  <si>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</si>
  <si>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</si>
  <si>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</si>
  <si>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</si>
  <si>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</si>
  <si>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</si>
  <si>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</si>
  <si>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</si>
  <si>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Mercado libre </t>
  </si>
  <si>
    <t>https://articulo.mercadolibre.com.co/MCO-1294185577-poweredge-t150-tower-server-intel-xeon-e-2336g16gb2tb-_JM#position=8&amp;search_layout=stack&amp;type=item&amp;tracking_id=6ce23d24-4588-4653-bb99-db7e1509e5aa</t>
  </si>
  <si>
    <t>Poweredge T150 - Tower Server/ Intel Xeon E-2336g/16gb/2tb</t>
  </si>
  <si>
    <t>Un procesador Intel® Xeon® serie E-2336 con hasta 8 núcleos por procesador</t>
  </si>
  <si>
    <t>https://articulo.mercadolibre.com.co/MCO-1318522727-servidor-hp-proliant-ml310e-gen8-v2-r16gb-ssd480-xeon-31ghz-_JM#position=4&amp;search_layout=stack&amp;type=item&amp;tracking_id=aa17d476-2270-48e4-afc3-371dfada513d</t>
  </si>
  <si>
    <t>Servidor Hp Proliant Ml310e Gen8 V2 R16gb Ssd480 Xeon 3.1ghz</t>
  </si>
  <si>
    <t>ProLiant ML310e Gen8 v2</t>
  </si>
  <si>
    <t>Servidor Rack Marca Siara Intel Xeon E3 1260l 16gb 1tb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</si>
  <si>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</si>
  <si>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</si>
  <si>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</si>
  <si>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</si>
  <si>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</si>
  <si>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</si>
  <si>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</si>
  <si>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</si>
  <si>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</si>
  <si>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</si>
  <si>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Speed logic</t>
  </si>
  <si>
    <t>https://speedlogic.com.co/tienda/memorias-ram/memoria-ram-ddr4-16g-3200-cors</t>
  </si>
  <si>
    <t>MEMORIA RAM DDR4 16G 3200 CORSAIR VENGEANCE RGB RS</t>
  </si>
  <si>
    <t>La memoria DDR4 CORSAIR VENGEANCE RGB RS realza la estética de su PC gracias a su iluminación RGB dinámica y direccionable individualmente</t>
  </si>
  <si>
    <t>Mercado Libre</t>
  </si>
  <si>
    <t>https://listado.mercadolibre.com.co/memoria-ddr4-16gb</t>
  </si>
  <si>
    <t>Memoria RAM Premier color verde 16GB 1 Adata AD4S320016G22-SGN</t>
  </si>
  <si>
    <t>Cuenta con una tasa de transferencia de 25600 MB/s.</t>
  </si>
  <si>
    <t>Tecnostock</t>
  </si>
  <si>
    <t>https://tecnostock.com.co/products/crucial-laptop-ddr4-3200-mhz-sodimm-memory-module?variant=46808587370781&amp;currency=COP&amp;utm_medium=product_sync&amp;utm_source=google&amp;utm_content=sag_organic&amp;utm_campaign=sag_organic&amp;srsltid=AfmBOoqET5a1tgCjO-30b6IPBqHaFs9VneMJjDgoKfxpm8XhSgHhZF9ABDc</t>
  </si>
  <si>
    <t>Crucial Laptop DDR4 3200 MHz SODIMM Memory Module</t>
  </si>
  <si>
    <t>Velocidad de reloj de 3200 MHz.</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</si>
  <si>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</si>
  <si>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</si>
  <si>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</si>
  <si>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</si>
  <si>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</si>
  <si>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</si>
  <si>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</si>
  <si>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</si>
  <si>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</si>
  <si>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</si>
  <si>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https://www.falabella.com.co/falabella-co/product/130536287/Combo-Dell-Wireless-Km3322w-Teclado-+-Mouse/130536288</t>
  </si>
  <si>
    <t>Combo Dell Wireless Km3322w Teclado + Mouse</t>
  </si>
  <si>
    <t>Sensor de alta precisión</t>
  </si>
  <si>
    <t>ALKOSTO</t>
  </si>
  <si>
    <t>https://www.alkosto.com/teclado-hp-alambrico-150-basic-negro/p/196548244195</t>
  </si>
  <si>
    <t>Teclado HP Alámbrico 150 Basic Negro</t>
  </si>
  <si>
    <t>Teclado con cable HP 150. Este perfecto compañero plug-and-play es un teclado cómodo con todo lo que necesitas para donde sea que lo lleves</t>
  </si>
  <si>
    <t>Panamericana</t>
  </si>
  <si>
    <t>(601) 364 9000</t>
  </si>
  <si>
    <t>Calle 12 # 34 - 30, Bogotá D.C.</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</si>
  <si>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</si>
  <si>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</si>
  <si>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</si>
  <si>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</si>
  <si>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</si>
  <si>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</si>
  <si>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</si>
  <si>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</si>
  <si>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</si>
  <si>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</si>
  <si>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ouse-gamer-vertical-inalambrico-recargable-weibo-wb-881-negro/p/MCO16051104?pdp_filters=item_id:MCO2027339616#is_advertising=true&amp;searchVariation=MCO16051104&amp;position=1&amp;search_layout=stack&amp;type=pad&amp;tracking_id=ced31c77-b65c-4671-a8f1-61f3edab0f16&amp;is_advertising=true&amp;ad_domain=VQCATCORE_LST&amp;ad_position=1&amp;ad_click_id=MWZjOWY3ZTgtZjgwNS00MmEzLTk2M2ItNGJiMDNhMjg1NDIy</t>
  </si>
  <si>
    <t>Mouse gamer vertical inalámbrico recargable Weibo WB-881 negro</t>
  </si>
  <si>
    <t>Posee rueda de desplazamiento.</t>
  </si>
  <si>
    <t>AMAZON</t>
  </si>
  <si>
    <t>https://www.amazon.com/AmazonBasics-Rat%C3%B3n-computadora-botones-paquete/dp/B005EJH6RW/ref=sr_1_1_ffob_sspa?adgrpid=76518563943&amp;dib=eyJ2IjoiMSJ9.caTNles2EQzXmYsVaF0sPWElmTAbfPn8TEbeABR0G9o84hDg74tGjW-PbETNTqLxtMID4w5lIQF8m7j5KPrX60kFeTUY-IKKj1s5-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t>
  </si>
  <si>
    <t>AmazonBasics Ratón de computadora con cable USB de 3 botones (negro), paquete de 1</t>
  </si>
  <si>
    <t>Ratón de computadora para navegar fácilmente por una interfaz de computadora; haga clic, desplazarse y más</t>
  </si>
  <si>
    <t>EXPOCOL SUMINISTRO</t>
  </si>
  <si>
    <t>https://expocolsuministros.com/product/mouse-logitech-g-inalambrico-gaming-g305-lila/</t>
  </si>
  <si>
    <t>Mouse LOGITECH G Inalámbrico Gaming G305 Lila</t>
  </si>
  <si>
    <t>G305 puede guardar en la memoria integrada hasta 5 perfiles con hasta 5 niveles de dpi cada uno.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</si>
  <si>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</si>
  <si>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</si>
  <si>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</si>
  <si>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</si>
  <si>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</si>
  <si>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</si>
  <si>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</si>
  <si>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</si>
  <si>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</si>
  <si>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</si>
  <si>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articulo.mercadolibre.com.co/MCO-1402404819-portatil-lenovo-ryzen-7-5825u-ram-24gb-solido-512gb-fhd-_JM?matt_tool=20886709&amp;matt_word=&amp;matt_source=google&amp;matt_campaign_id=20916441025&amp;matt_ad_group_id=156972020149&amp;matt_match_type=&amp;matt_network=g&amp;matt_device=c&amp;matt_creative=686533174229&amp;matt_keyword=&amp;matt_ad_position=&amp;matt_ad_type=pla&amp;matt_merchant_id=479586281&amp;matt_product_id=MCO1402404819&amp;matt_product_partition_id=2271169143581&amp;matt_target_id=pla-2271169143581&amp;cq_src=google_ads&amp;cq_cmp=20916441025&amp;cq_net=g&amp;cq_plt=gp&amp;cq_med=pla&amp;gad_source=1&amp;gclid=Cj0KCQjwltKxBhDMARIsAG8KnqUle6bx9CLf9aNeFB_TQ_sXvdvRZ6pU2IEDLCUUxUcyk94JFSDLMIkaArdBEALw_wcB</t>
  </si>
  <si>
    <t>Portatil Lenovo Ryzen 7 5825u Ram 24gb Solido 512gb Fhd</t>
  </si>
  <si>
    <t>Procesador AMD RYZEN R7 5825U 8 NUCELOS</t>
  </si>
  <si>
    <t>https://www.alkosto.com/computador-portatil-asus-vivobook-156-pulgadas-x1504za-intel-core-i5-ram-8gb-disco-ssd-512-gb-azul/p/4711387276068</t>
  </si>
  <si>
    <t>Computador Portátil ASUS Vivobook 15.6" Pulgadas X1504ZA - Intel Core i5 - RAM 8GB - Disco SSD 512 GB - Azul</t>
  </si>
  <si>
    <t>Escudo de privacidad de la cámara WEB física</t>
  </si>
  <si>
    <t>https://www.ktronix.com/computador-portatil-hp-pavilion-156-pulgadas-eg2526la-intel-core-i5-ram-8gb-disco-ssd-512gb-azul/p/198122317813</t>
  </si>
  <si>
    <t>Computador Portátil HP Pavilion 15.6" Pulgadas Eg2526la - Intel Core i5 - RAM 8GB - Disco SSD 512GB - Azul</t>
  </si>
  <si>
    <t>HP Fast Charge. Carga de 0 a 50% en aproximadamente 45 min</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</si>
  <si>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</si>
  <si>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</si>
  <si>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</si>
  <si>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</si>
  <si>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</si>
  <si>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</si>
  <si>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</si>
  <si>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</si>
  <si>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</si>
  <si>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</si>
  <si>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https://www.alkosto.com/monitor-samsung-gamer-32-pulgadas-ag320-plano-negro/p/887276595368</t>
  </si>
  <si>
    <t>Monitor SAMSUNG Gamer 32" Pulgadas AG320 Plano Negro</t>
  </si>
  <si>
    <t>Sus 165Hz eliminan el retraso, una experiencia ultrafluida</t>
  </si>
  <si>
    <t>https://www.falabella.com.co/falabella-co/product/122186554/Monitor-ThinkVision-M14-movil-con-pantalla-tactil-14%E2%80%9D/122186555</t>
  </si>
  <si>
    <t>Monitor ThinkVision M14 móvil con pantalla táctil 14”</t>
  </si>
  <si>
    <t>Response Time 6 ms (Extreme mode) / 8 ms (Typical mode)</t>
  </si>
  <si>
    <t>https://www.mercadolibre.com.co/monitor-gamer-lg-ultragear-27gr75q-lcd-27-negro-100v240v/p/MCO24122328?pdp_filters=item_id:MCO1413629089#is_advertising=true&amp;searchVariation=MCO24122328&amp;position=10&amp;search_layout=stack&amp;type=pad&amp;tracking_id=7415b802-551f-4627-8fe6-d6c65a3e40c2&amp;is_advertising=true&amp;ad_domain=VQCATCORE_LST&amp;ad_position=10&amp;ad_click_id=ODk2ZGUwZDQtYTZlMS00YjZkLWJkNmUtYjc0N2NkYWY4OTdl</t>
  </si>
  <si>
    <t>Monitor gamer LG UltraGear 27GR75Q LCD 27" negro 100V/240V</t>
  </si>
  <si>
    <t>Soporte de color: 16,7 millones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</si>
  <si>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</si>
  <si>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</si>
  <si>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</si>
  <si>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</si>
  <si>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</si>
  <si>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</si>
  <si>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</si>
  <si>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</si>
  <si>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</si>
  <si>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</si>
  <si>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</si>
  <si>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disco-duro-interno-western-digital-wd5000lpzx-25in-500gb-hdd-sata-iii-plata/p/MCO21709406?pdp_filters=category%3AMCO1672#searchVariation=MCO21709406&amp;position=4&amp;search_layout=stack&amp;type=product&amp;tracking_id=645ef13c-b162-4ab0-bc8e-6ab434cbaf42</t>
  </si>
  <si>
    <t>Disco Duro Interno Western Digital WD5000LPZX 2.5in 500gb Hdd Sata Iii Plata</t>
  </si>
  <si>
    <t xml:space="preserve">SPEED LOGIC </t>
  </si>
  <si>
    <t>https://speedlogic.com.co/tienda/unidades-disco-mecanico/disco-externo-usb-1-tb-toshiba-25-3-0/</t>
  </si>
  <si>
    <t>DISCO EXTERNO USB 1 TB TOSHIBA 2,5″ (3.0)</t>
  </si>
  <si>
    <t>Soluciones de almacenamiento Toshiba de la región EMEA –</t>
  </si>
  <si>
    <t xml:space="preserve">PCWARE </t>
  </si>
  <si>
    <t>https://www.pcware.com.co/kingston-250-gb-ssd-nvme-nv1-pcie-m-2-2280-gen-3-0-4-carriles-snvs-250g</t>
  </si>
  <si>
    <t>Kingston 250 GB SSD NVMe NV1/PCIe/M.2 2280/Gen 3.0/4 Carriles-SNVS/250G</t>
  </si>
  <si>
    <t>Mayor velocidad de Lectura y Escritura: más eficiencia para mayor performance de tus máquinas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</si>
  <si>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</si>
  <si>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</si>
  <si>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</si>
  <si>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</si>
  <si>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</si>
  <si>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</si>
  <si>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</si>
  <si>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</si>
  <si>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</si>
  <si>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</si>
  <si>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AMAZON </t>
  </si>
  <si>
    <t>https://www.amazon.com/ZimaBoard-servidor-Computadora-Almacenamiento-multimedia/dp/B0BKL7YPBQ/ref=sr_1_1_sspa?adgrpid=155794384686&amp;dib=eyJ2IjoiMSJ9.vYi2pIIiGRBedIr2jKVR4ybPOOFZSWbEDb958QPq9NarZfdDgLhPG1rwbxctloAyzlgEiJT22MxWfeOLuojU9lMgaWCspcaWFdcfhotfIJLw4HKo4BMqEq3usCY3QITk_O9c8ve6tss3sWwYeNc004FfpXfPf7LJv1GbZxOGSii9Zo-V7IZ_1V_HKTu3oHC3by1vwuC41wtIhixDpZLzPkPqyy3a8UQThf6lEfmQBG8.ce6UuJy1KMSj4ZCWiuK1ejBTgg8_WeHUDg2rWRQxGWE&amp;dib_tag=se&amp;hvadid=685760356930&amp;hvdev=c&amp;hvlocphy=1003659&amp;hvnetw=g&amp;hvqmt=e&amp;hvrand=12856362696261638438&amp;hvtargid=kwd-333776316623&amp;hydadcr=2263_13512609&amp;keywords=servidores+computadora&amp;qid=1714839274&amp;sr=8-1-spons&amp;sp_csd=d2lkZ2V0TmFtZT1zcF9hdGY&amp;psc=1</t>
  </si>
  <si>
    <t>ZimaBoard 832 Router de servidor de una sola placa X86 Computadora de una sola placa Almacenamiento en la red en la nube personal Servidor multimedia 4K Puerta de enlace Gigabit dual - PCIe x4 SATA</t>
  </si>
  <si>
    <t>El primer servidor de placa única x86 hackable del mundo: ZimaBoard es un servidor de placa única de bajo costo diseñado exclusivamente para fabricantes</t>
  </si>
  <si>
    <t>https://articulo.mercadolibre.com.co/MCO-2256411732-servidor-dell-power-edge-t40-intel-xeon-35-ghz-8g-1tb-_JM#position=1&amp;search_layout=stack&amp;type=item&amp;tracking_id=0fd9fb34-0351-4dd5-bffd-e6bf27036d09</t>
  </si>
  <si>
    <t>Servidor Dell Power Edge T40 Intel Xeon 3.5 Ghz 8g 1tb</t>
  </si>
  <si>
    <t>T40Q3FY22COV1</t>
  </si>
  <si>
    <t>https://articulo.mercadolibre.com.co/MCO-1317854809-cpu-dell-optiplex-5090-core-i5-10ma-gen-8gb-512gb-open-box-_JM?variation=#reco_item_pos=0&amp;reco_backend=pads-retrieval-model-odin_marketplace&amp;reco_backend_type=&amp;reco_client=vip-pads-up&amp;reco_id=4ba4c990-688a-4e14-ba09-aa8d43e7531a&amp;is_advertising=true&amp;ad_domain=VIPDESKTOP_UP&amp;ad_position=1&amp;ad_click_id=ZGYxNDliOTItZTMyNC00Y2ViLThhN2ItYWFkYmMzNDY0NTli</t>
  </si>
  <si>
    <t>Cpu Dell Optiplex 5090 Core I5 10ma Gen 8gb 512gb Open Box</t>
  </si>
  <si>
    <t>EQUIPO PERFECTO PARA TRANSMITIR COMO WEBCAM EN 2 O 3 PAGINAS AL MISMO TIEMPO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</si>
  <si>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</si>
  <si>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</si>
  <si>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</si>
  <si>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</si>
  <si>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</si>
  <si>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</si>
  <si>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</si>
  <si>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</si>
  <si>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</si>
  <si>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</si>
  <si>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emoria-ram-samsung-8gb-ddr3-1600mhz-portatil-laptop/p/MCO14924731?pdp_filters=item_id:MCO1541573376#is_advertising=true&amp;searchVariation=MCO14924731&amp;position=1&amp;search_layout=stack&amp;type=pad&amp;tracking_id=9217704f-2715-469b-afb8-bab5f98c6e2a&amp;is_advertising=true&amp;ad_domain=VQCATCORE_LST&amp;ad_position=1&amp;ad_click_id=ZTY3NGNiNWItYTg0My00YzlmLWFkZGYtYjA0YWZkODA0OGFk</t>
  </si>
  <si>
    <t>Memoria Ram Samsung 8gb Ddr3 1600mhz Portatil Laptop</t>
  </si>
  <si>
    <t>Memoria con formato SODIMM.</t>
  </si>
  <si>
    <t xml:space="preserve">CLONES Y PERIFERICOS </t>
  </si>
  <si>
    <t>https://clonesyperifericos.com/comprar/memoria-ram-corsair-vengeance-rgb-ddr5-48gb-2x24-gb-6000-mhz/</t>
  </si>
  <si>
    <t>MEMORIA RAM CORSAIR VENGEANCE RGB DDR5 48GB (2×24 GB) 6000 MHZ</t>
  </si>
  <si>
    <t>Iluminación RGB dinámica de diez zonas: Ilumina tu sistema con diez LEDs RGB ultra brillantes direccionables individualmente por módulo</t>
  </si>
  <si>
    <t>https://www.pcware.com.co/kingston-8gb-ddr4-pc4-3200mhz-cl-22-260-pin-1-2-v-64bits-non-ecc-kvr32s22s6-8</t>
  </si>
  <si>
    <t>Kingston 8GB DDR4 PC4-3200MHz/CL 22/260 Pin/1.2 V/64Bits/Non-ECC-KVR32S22S6/8</t>
  </si>
  <si>
    <t>La Kingston 8GB DDR4 PC4-3200MHz es un modulo con 260 pines, ideal para armar tu nuevo sistema o actualizar la RAM para darle mayor capacidad, su velocidad de reloj a 3200Mhz sirve en 0,625 nano segundos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</si>
  <si>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</si>
  <si>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</si>
  <si>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</si>
  <si>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</si>
  <si>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</si>
  <si>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</si>
  <si>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</si>
  <si>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</si>
  <si>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</si>
  <si>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</si>
  <si>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tarjeta-de-video-g210-1gb-ddr3-hdmi-pci-e/p/MCO36538858?pdp_filters=item_id:MCO2359750672#is_advertising=true&amp;searchVariation=MCO36538858&amp;position=2&amp;search_layout=stack&amp;type=pad&amp;tracking_id=9a9fe571-d45a-45cd-bdf6-b4a7012b264a&amp;is_advertising=true&amp;ad_domain=VQCATCORE_LST&amp;ad_position=2&amp;ad_click_id=ODFlYTdmN2EtZGVhMS00ZTkyLWE1NzctZjU0MjNlODc2M2E0</t>
  </si>
  <si>
    <t>Tarjeta De Video G210 1gb Ddr3 Hdmi Pci E</t>
  </si>
  <si>
    <t>Este componente electrónico procesa la información que llega al dispositivo y los transforma en imágenes o videos para mostrarla visualmente</t>
  </si>
  <si>
    <t>https://clonesyperifericos.com/comprar/tarjeta-xfx-amd-radeon-rx-580-gts-edicion-xxx-8gb/</t>
  </si>
  <si>
    <t>TARJETA XFX AMD RADEON RX 580 GTS EDICIÓN XXX 8GB</t>
  </si>
  <si>
    <t>Compatibilidad con Microsoft® DirectX™ 12</t>
  </si>
  <si>
    <t xml:space="preserve">COMPULAGO </t>
  </si>
  <si>
    <t>https://www.compulago.com/producto/tarjeta-video-20-gb-ddr5-asrock-phantom-gaming-rx-550-1102336897/</t>
  </si>
  <si>
    <t>TARJETA VIDEO 2.0 GB DDR5 ASROCK PHANTOM GAMING RX 550</t>
  </si>
  <si>
    <t>Processador Gráfico AMD Radeon RX 550, PCI Express x16 Gen3 (usa x8), DirectX 12, OpenGL 4.5, Ddr5 2GB, reloj del procesador Hasta 1183MHz</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</si>
  <si>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</si>
  <si>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</si>
  <si>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</si>
  <si>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</si>
  <si>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</si>
  <si>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</si>
  <si>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</si>
  <si>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</si>
  <si>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</si>
  <si>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</si>
  <si>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https://www.mercadolibre.com.co/procesador-intel-core-i5-14600k-35-ghz-socket-1700/p/MCO28087623#searchVariation=MCO28087623&amp;position=13&amp;search_layout=stack&amp;type=product&amp;tracking_id=1fca398b-5b2e-4e88-a135-acde060ae640</t>
  </si>
  <si>
    <t>Procesador Intel Core I5 14600k 3.5 Ghz Socket 1700</t>
  </si>
  <si>
    <t>Ejecuta programas de edición de videos, creación de contenido, streaming y videojuegos sin afectar el rendimiento del dispositivo.</t>
  </si>
  <si>
    <t xml:space="preserve">COMETWARE </t>
  </si>
  <si>
    <t>https://cometware.com/intel-core-i5-13600k-f-3-5ghz-6p-8e-20-hilos-raptor-lake-procesador-1.html</t>
  </si>
  <si>
    <t>Intel Core i5 13600KF 3.5GHz (6P+8E)20 Hilos Raptor Lake Procesador</t>
  </si>
  <si>
    <t>Potencia de Diseño Térmico 125W</t>
  </si>
  <si>
    <t>https://articulo.mercadolibre.com.co/MCO-1841202220-combo-board-h610m-procesador-intel-core-i7-13700f-pc-_JM#position=13&amp;search_layout=stack&amp;type=item&amp;tracking_id=2dccec45-5e91-4096-aef0-9854c6a970b8</t>
  </si>
  <si>
    <t>Combo Board H610m Procesador Intel Core I7 13700f Pc</t>
  </si>
  <si>
    <t>Soporta Procesadores de 12ª y 13ª Generación Intel® Core™ (Socket 1700)</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</si>
  <si>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</si>
  <si>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</si>
  <si>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</si>
  <si>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</si>
  <si>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</si>
  <si>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</si>
  <si>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</si>
  <si>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</si>
  <si>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</si>
  <si>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</si>
  <si>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https://www.falabella.com.co/falabella-co/product/3032470/Teclado-Logitech-Inalambrico-K400-Plus-con-touch-pad-para-TV.-Apto-para-TV-y-PC/3032470</t>
  </si>
  <si>
    <t>Teclado Logitech Inalámbrico K400 Plus con touch pad para TV. Apto para TV y PC</t>
  </si>
  <si>
    <t>Funciona con Windows 7, Windows 8, Windows 10 o posteriores, Android 7.0 o posteriores, Chrome OS - Puerto USB - Conexión a Internet (para descarga de software opcional)</t>
  </si>
  <si>
    <t>https://www.mercadolibre.com.co/teclado-mecanico-gamer-unitec-mk20-retroiluminado-color-del-teclado-plateado/p/MCO23026811?pdp_filters=item_id:MCO1366192149#is_advertising=true&amp;searchVariation=MCO23026811&amp;position=1&amp;search_layout=stack&amp;type=pad&amp;tracking_id=0694a9e8-3b57-4bb8-af1f-b5fae4bf605b&amp;is_advertising=true&amp;ad_domain=VQCATCORE_LST&amp;ad_position=1&amp;ad_click_id=YjRlZTZiMmUtNzVkYS00NDYyLWJjMmUtNzBmZjkzNTY3Yzlj</t>
  </si>
  <si>
    <t>Teclado Mecánico Gamer Unitec Mk20 Retroiluminado Color del teclado Plateado</t>
  </si>
  <si>
    <t>Este teclado Unitec de alto rendimiento permite que puedas disfrutar de horas ilimitadas de juegos. Está diseñado especialmente para que puedas expresar tanto tus habilidades como tu estilo. Podrás mejorar tu experiencia de gaming</t>
  </si>
  <si>
    <t>https://www.compulago.com/producto/teclado-usb-genius-slimstar-230-multimedia-362702337905/</t>
  </si>
  <si>
    <t>TECLADO USB GENIUS SLIMSTAR 230 MULTIMEDIA</t>
  </si>
  <si>
    <t>Referencia SlimStar 230</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</si>
  <si>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</si>
  <si>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</si>
  <si>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</si>
  <si>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</si>
  <si>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</si>
  <si>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</si>
  <si>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</si>
  <si>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</si>
  <si>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</si>
  <si>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</si>
  <si>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</si>
  <si>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logitech-g203-lightsync-mouse-gamer-rgb-6-botones-8000dpi-color-negro/p/MCO16211422?pdp_filters=category:MCO1714#searchVariation=MCO16211422&amp;position=3&amp;search_layout=stack&amp;type=product&amp;tracking_id=7a5eaca7-1b3b-422c-8409-09afa8f8a058</t>
  </si>
  <si>
    <t>Logitech G203 Lightsync, Mouse Gamer Rgb, 6 Botones, 8000dpi Color Negro</t>
  </si>
  <si>
    <t>Resolución de 8000dpi.</t>
  </si>
  <si>
    <t>Falabella colombia</t>
  </si>
  <si>
    <t>https://www.falabella.com.co/falabella-co/product/128340144/Mouse-Gamer-Logitech-G304-Lightspeed-Wireless/128340147</t>
  </si>
  <si>
    <t>Mouse Gamer Logitech G304 Lightspeed Wireless</t>
  </si>
  <si>
    <t>Tecnología Lightspeed para una conexión inalámbrica ultrarrápida.</t>
  </si>
  <si>
    <t>Ktronix</t>
  </si>
  <si>
    <t>https://www.ktronix.com/mouse-hyperx-alambrico-optico-pulsefire-core-6200dpi-rgb-gaming/p/196188043127?utm_source=google&amp;utm_medium=organic&amp;utm_campaign=Shopping-organico</t>
  </si>
  <si>
    <t>Mouse HYPERX Alámbrico Optico Pulsefire Core 6200DPI RGB Gaming</t>
  </si>
  <si>
    <t>El HYPERX Pulsefire Core es un cómodo mouse RGB para juegos que cuenta con el sensor óptico Pixart 3327 para configuraciones de hasta 6200 DPI. Adicional cuenta con un seguimiento preciso y suave sin acelerar el hardware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</si>
  <si>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</si>
  <si>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</si>
  <si>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</si>
  <si>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</si>
  <si>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</si>
  <si>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</si>
  <si>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</si>
  <si>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</si>
  <si>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</si>
  <si>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</si>
  <si>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SYSTORE COLOMBIA </t>
  </si>
  <si>
    <t>https://systorecolombia.com/59-windows</t>
  </si>
  <si>
    <t>MICROSOFT WINDOWS 10 PROFESIONAL A 64 BITS OEM FQC-08981</t>
  </si>
  <si>
    <t>Windows 10 es un sistema operativo de computadora personal desarrollado y lanzado por Microsoft como parte de la familia de sistemas operativos Windows NT</t>
  </si>
  <si>
    <t>https://systorecolombia.com/windows/942-microsoft-windows-11-profesional-ggk-kit-de-legalizacion-64-bits-oem-4yr-00229.html</t>
  </si>
  <si>
    <t>Microsoft Windows 11 Profesional GGK Kit de Legalización 64 Bits Oem 4YR-00229</t>
  </si>
  <si>
    <t>Licencia para equipo usado, no transferible, muere con la maquina, incluye DVD de instalación</t>
  </si>
  <si>
    <t>https://systorecolombia.com/windows/643-microsoft-windows-10-profesional-a-64-bits-usb-transferible-fqc-08788.html</t>
  </si>
  <si>
    <t>Microsoft Windows 10 Profesional a 64 Bits Usb Transferible Fqc-08788</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</si>
  <si>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</si>
  <si>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</si>
  <si>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</si>
  <si>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</si>
  <si>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</si>
  <si>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</si>
  <si>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</si>
  <si>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</si>
  <si>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</si>
  <si>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</si>
  <si>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Digital licence</t>
  </si>
  <si>
    <t xml:space="preserve">https://digital-licence.com/es/producto/licencia-visual-studio-2022-enterprise/
</t>
  </si>
  <si>
    <t>Licencia Visual Studio 2022 Enterprise</t>
  </si>
  <si>
    <t>Keys express</t>
  </si>
  <si>
    <t>bienvenido@keys.express</t>
  </si>
  <si>
    <t>El mejor IDE completo para desarrolladores de .NET y C++ en Windows. Completamente equipado con una buena matriz de herramientas y características para elevar y mejorar todas las etapas del desarrollo de software.</t>
  </si>
  <si>
    <t xml:space="preserve">MICROSOFT </t>
  </si>
  <si>
    <t>https://visualstudio.microsoft.com/es/vs/pricing/</t>
  </si>
  <si>
    <t xml:space="preserve">LICENCIA VISUAL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</si>
  <si>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</si>
  <si>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</si>
  <si>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</si>
  <si>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</si>
  <si>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</si>
  <si>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</si>
  <si>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</si>
  <si>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</si>
  <si>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</si>
  <si>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</si>
  <si>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lasus</t>
  </si>
  <si>
    <t xml:space="preserve">Licencia Windows 11 Pro ESD Vitalicia
</t>
  </si>
  <si>
    <t xml:space="preserve"> Colombia pc</t>
  </si>
  <si>
    <t>(305) 3676372</t>
  </si>
  <si>
    <t>MICROSOFT</t>
  </si>
  <si>
    <t>https://www.microsoft.com/es-co/</t>
  </si>
  <si>
    <t>WINDOWS 11 HOME</t>
  </si>
  <si>
    <t>El sistema operativo primordial del los computadores que se usaran para el desarrollo del sistema web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</si>
  <si>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</si>
  <si>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</si>
  <si>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</si>
  <si>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</si>
  <si>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</si>
  <si>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</si>
  <si>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</si>
  <si>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</si>
  <si>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</si>
  <si>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</si>
  <si>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Lasus</t>
  </si>
  <si>
    <t>Licencia de dispositivo SQL Server 2022 - 1 CAL</t>
  </si>
  <si>
    <t xml:space="preserve"> Garcia comunicaciones </t>
  </si>
  <si>
    <t>https://systorecolombia.com/server/252-licencia-sql-server-standard-2019-perpetua-dg7gmgf0fkx9.html</t>
  </si>
  <si>
    <t>Licencia SQL Server Standard 2019 Perpetua DG7GMGF0FKX9</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</si>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</sst>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240A]\ * #,##0.00_-;\-[$$-240A]\ * #,##0.00_-;_-[$$-240A]\ * &quot;-&quot;??_-;_-@"/>
    <numFmt numFmtId="165" formatCode="_([$$-409]* #,##0.00_);_([$$-409]* \(#,##0.00\);_([$$-409]* &quot;-&quot;??_);_(@_)"/>
    <numFmt numFmtId="166" formatCode="_-[$$-409]* #,##0.00_ ;_-[$$-409]* \-#,##0.00\ ;_-[$$-409]* &quot;-&quot;??_ ;_-@_ "/>
    <numFmt numFmtId="167" formatCode="&quot;$&quot;#,##0.00_);[Red]\(&quot;$&quot;#,##0.00\)"/>
    <numFmt numFmtId="168" formatCode="&quot;$&quot;#,##0_);[Red]\(&quot;$&quot;#,##0\)"/>
    <numFmt numFmtId="169" formatCode="_(&quot;$&quot;* #,##0.00_);_(&quot;$&quot;* \(#,##0.00\);_(&quot;$&quot;* &quot;-&quot;??_);_(@_)"/>
    <numFmt numFmtId="170" formatCode="_-* #,##0.00_-;\-* #,##0.00_-;_-* &quot;-&quot;??_-;_-@"/>
  </numFmts>
  <fonts count="47">
    <font>
      <sz val="10.0"/>
      <color rgb="FF000000"/>
      <name val="Arial"/>
      <scheme val="minor"/>
    </font>
    <font>
      <sz val="10.0"/>
      <color theme="1"/>
      <name val="Arial"/>
    </font>
    <font>
      <b/>
      <sz val="12.0"/>
      <color theme="1"/>
      <name val="Arial"/>
    </font>
    <font/>
    <font>
      <b/>
      <sz val="10.0"/>
      <color theme="1"/>
      <name val="Arial"/>
    </font>
    <font>
      <b/>
      <sz val="10.0"/>
      <color theme="1"/>
      <name val="Trebuchet MS"/>
    </font>
    <font>
      <b/>
      <u/>
      <sz val="10.0"/>
      <color theme="1"/>
      <name val="Trebuchet MS"/>
    </font>
    <font>
      <i/>
      <sz val="10.0"/>
      <color theme="1"/>
      <name val="Arial"/>
    </font>
    <font>
      <sz val="10.0"/>
      <color rgb="FF000000"/>
      <name val="Trebuchet MS"/>
    </font>
    <font>
      <u/>
      <sz val="10.0"/>
      <color theme="10"/>
      <name val="Arial"/>
    </font>
    <font>
      <sz val="10.0"/>
      <color rgb="FF000000"/>
      <name val="Arial"/>
    </font>
    <font>
      <u/>
      <sz val="10.0"/>
      <color rgb="FF000000"/>
      <name val="Trebuchet MS"/>
    </font>
    <font>
      <sz val="10.0"/>
      <color theme="1"/>
      <name val="Trebuchet MS"/>
    </font>
    <font>
      <sz val="10.0"/>
      <color theme="1"/>
      <name val="Proxima Nova"/>
    </font>
    <font>
      <sz val="10.0"/>
      <color rgb="FF231F20"/>
      <name val="Trebuchet MS"/>
    </font>
    <font>
      <sz val="10.0"/>
      <color rgb="FF3C4B71"/>
      <name val="Arial"/>
    </font>
    <font>
      <b/>
      <sz val="10.0"/>
      <color theme="1"/>
      <name val="Open Sans"/>
    </font>
    <font>
      <sz val="10.0"/>
      <color rgb="FF222222"/>
      <name val="Inherit"/>
    </font>
    <font>
      <sz val="10.0"/>
      <color theme="1"/>
      <name val="Montserrat"/>
    </font>
    <font>
      <sz val="10.0"/>
      <color theme="1"/>
      <name val="Arial Narrow"/>
    </font>
    <font>
      <b/>
      <u/>
      <sz val="10.0"/>
      <color theme="1"/>
      <name val="Arial"/>
    </font>
    <font>
      <u/>
      <sz val="10.0"/>
      <color theme="10"/>
      <name val="Arial"/>
    </font>
    <font>
      <u/>
      <sz val="10.0"/>
      <color rgb="FF000000"/>
      <name val="Arial"/>
    </font>
    <font>
      <u/>
      <sz val="10.0"/>
      <color theme="10"/>
      <name val="Arial"/>
    </font>
    <font>
      <sz val="10.0"/>
      <color rgb="FF444444"/>
      <name val="Arial"/>
    </font>
    <font>
      <b/>
      <u/>
      <sz val="10.0"/>
      <color theme="1"/>
      <name val="Trebuchet MS"/>
    </font>
    <font>
      <sz val="10.0"/>
      <color rgb="FF231F20"/>
      <name val="Arial"/>
    </font>
    <font>
      <sz val="10.0"/>
      <color rgb="FF333333"/>
      <name val="Arial"/>
    </font>
    <font>
      <sz val="10.0"/>
      <color rgb="FF666666"/>
      <name val="Arial"/>
    </font>
    <font>
      <b/>
      <sz val="10.0"/>
      <color rgb="FF333E48"/>
      <name val="Arial"/>
    </font>
    <font>
      <sz val="10.0"/>
      <color rgb="FF333E48"/>
      <name val="Arial"/>
    </font>
    <font>
      <sz val="10.0"/>
      <color rgb="FF4A4A4A"/>
      <name val="Arial"/>
    </font>
    <font>
      <u/>
      <sz val="10.0"/>
      <color rgb="FF000000"/>
      <name val="Arial"/>
    </font>
    <font>
      <u/>
      <sz val="10.0"/>
      <color rgb="FF000000"/>
      <name val="Arial"/>
    </font>
    <font>
      <sz val="10.0"/>
      <color rgb="FF0F1111"/>
      <name val="Arial"/>
    </font>
    <font>
      <color theme="1"/>
      <name val="Arial"/>
      <scheme val="minor"/>
    </font>
    <font>
      <sz val="10.0"/>
      <color theme="10"/>
      <name val="Arial"/>
    </font>
    <font>
      <u/>
      <sz val="10.0"/>
      <color rgb="FF0000FF"/>
      <name val="Arial"/>
    </font>
    <font>
      <u/>
      <sz val="10.0"/>
      <color theme="1"/>
      <name val="Arial"/>
    </font>
    <font>
      <u/>
      <sz val="10.0"/>
      <color theme="1"/>
      <name val="Arial"/>
    </font>
    <font>
      <u/>
      <sz val="10.0"/>
      <color theme="1"/>
      <name val="Arial"/>
    </font>
    <font>
      <b/>
      <u/>
      <sz val="10.0"/>
      <color theme="1"/>
      <name val="Trebuchet MS"/>
    </font>
    <font>
      <u/>
      <sz val="10.0"/>
      <color theme="1"/>
      <name val="Arial"/>
    </font>
    <font>
      <sz val="9.0"/>
      <color theme="1"/>
      <name val="Arial"/>
    </font>
    <font>
      <u/>
      <sz val="9.0"/>
      <color theme="1"/>
      <name val="Arial"/>
    </font>
    <font>
      <u/>
      <sz val="10.0"/>
      <color theme="1"/>
      <name val="Arial"/>
    </font>
    <font>
      <u/>
      <sz val="10.0"/>
      <color rgb="FF0000FF"/>
      <name val="Arial"/>
    </font>
  </fonts>
  <fills count="10">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rgb="FFEFEFEF"/>
        <bgColor rgb="FFEFEFEF"/>
      </patternFill>
    </fill>
    <fill>
      <patternFill patternType="solid">
        <fgColor rgb="FFF8F8F8"/>
        <bgColor rgb="FFF8F8F8"/>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center" shrinkToFit="0" vertical="center" wrapText="1"/>
    </xf>
    <xf borderId="4" fillId="0" fontId="5" numFmtId="0" xfId="0" applyAlignment="1" applyBorder="1" applyFont="1">
      <alignment horizontal="center" shrinkToFit="0" vertical="center" wrapText="1"/>
    </xf>
    <xf borderId="4" fillId="4" fontId="6" numFmtId="0" xfId="0" applyAlignment="1" applyBorder="1" applyFill="1" applyFont="1">
      <alignment horizontal="center" shrinkToFit="0" vertical="center" wrapText="1"/>
    </xf>
    <xf borderId="5" fillId="5" fontId="4" numFmtId="0" xfId="0" applyAlignment="1" applyBorder="1" applyFill="1" applyFont="1">
      <alignment horizontal="center" shrinkToFit="0" vertical="center" wrapText="1"/>
    </xf>
    <xf borderId="0" fillId="0" fontId="7" numFmtId="0" xfId="0" applyAlignment="1" applyFont="1">
      <alignment horizontal="center" vertical="center"/>
    </xf>
    <xf borderId="4" fillId="0" fontId="4" numFmtId="0" xfId="0" applyAlignment="1" applyBorder="1" applyFont="1">
      <alignment horizontal="center" vertical="center"/>
    </xf>
    <xf borderId="4" fillId="0" fontId="8"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4" fillId="6" fontId="10" numFmtId="0" xfId="0" applyAlignment="1" applyBorder="1" applyFill="1" applyFont="1">
      <alignment horizontal="center" shrinkToFit="0" vertical="center" wrapText="1"/>
    </xf>
    <xf borderId="4" fillId="0" fontId="8" numFmtId="164" xfId="0" applyAlignment="1" applyBorder="1" applyFont="1" applyNumberFormat="1">
      <alignment horizontal="center" shrinkToFit="0" vertical="center" wrapText="1"/>
    </xf>
    <xf borderId="4" fillId="0" fontId="8" numFmtId="165" xfId="0" applyAlignment="1" applyBorder="1" applyFont="1" applyNumberFormat="1">
      <alignment horizontal="center" shrinkToFit="0" vertical="center" wrapText="1"/>
    </xf>
    <xf borderId="4" fillId="0" fontId="11" numFmtId="166" xfId="0" applyAlignment="1" applyBorder="1" applyFont="1" applyNumberFormat="1">
      <alignment horizontal="center" shrinkToFit="0" vertical="center" wrapText="1"/>
    </xf>
    <xf borderId="4" fillId="0" fontId="12" numFmtId="0" xfId="0" applyAlignment="1" applyBorder="1" applyFont="1">
      <alignment horizontal="center" shrinkToFit="0" vertical="top" wrapText="1"/>
    </xf>
    <xf borderId="6" fillId="6" fontId="13" numFmtId="0" xfId="0" applyAlignment="1" applyBorder="1" applyFont="1">
      <alignment horizontal="center" shrinkToFit="0" vertical="center" wrapText="1"/>
    </xf>
    <xf borderId="4" fillId="0" fontId="14" numFmtId="0" xfId="0" applyAlignment="1" applyBorder="1" applyFont="1">
      <alignment horizontal="center" shrinkToFit="0" vertical="center" wrapText="1"/>
    </xf>
    <xf borderId="4" fillId="6" fontId="15" numFmtId="0" xfId="0" applyAlignment="1" applyBorder="1" applyFont="1">
      <alignment horizontal="center" shrinkToFit="0" vertical="center" wrapText="1"/>
    </xf>
    <xf borderId="6" fillId="6" fontId="16" numFmtId="0" xfId="0" applyAlignment="1" applyBorder="1" applyFont="1">
      <alignment horizontal="center" shrinkToFit="0" vertical="center" wrapText="1"/>
    </xf>
    <xf borderId="4" fillId="6" fontId="17" numFmtId="0" xfId="0" applyAlignment="1" applyBorder="1" applyFont="1">
      <alignment horizontal="center" shrinkToFit="0" vertical="center" wrapText="1"/>
    </xf>
    <xf borderId="6" fillId="6" fontId="18" numFmtId="0" xfId="0" applyAlignment="1" applyBorder="1" applyFont="1">
      <alignment horizontal="center" shrinkToFit="0" vertical="center" wrapText="1"/>
    </xf>
    <xf borderId="4" fillId="0" fontId="1" numFmtId="0" xfId="0" applyBorder="1" applyFont="1"/>
    <xf borderId="4" fillId="0" fontId="12" numFmtId="0" xfId="0" applyAlignment="1" applyBorder="1" applyFont="1">
      <alignment horizontal="left" shrinkToFit="0" vertical="top" wrapText="1"/>
    </xf>
    <xf borderId="1" fillId="0" fontId="4" numFmtId="0" xfId="0" applyAlignment="1" applyBorder="1" applyFont="1">
      <alignment horizontal="left" shrinkToFit="0" vertical="center" wrapText="1"/>
    </xf>
    <xf borderId="0" fillId="0" fontId="19" numFmtId="0" xfId="0" applyAlignment="1" applyFont="1">
      <alignment horizontal="center" shrinkToFit="0" vertical="center" wrapText="1"/>
    </xf>
    <xf borderId="4" fillId="0" fontId="4" numFmtId="0" xfId="0" applyAlignment="1" applyBorder="1" applyFont="1">
      <alignment horizontal="center" shrinkToFit="0" vertical="center" wrapText="1"/>
    </xf>
    <xf borderId="4" fillId="4" fontId="20"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7" fillId="0" fontId="21" numFmtId="0" xfId="0" applyAlignment="1" applyBorder="1" applyFont="1">
      <alignment shrinkToFit="0" vertical="center" wrapText="1"/>
    </xf>
    <xf borderId="4" fillId="0" fontId="10" numFmtId="0" xfId="0" applyAlignment="1" applyBorder="1" applyFont="1">
      <alignment horizontal="center" shrinkToFit="0" vertical="center" wrapText="1"/>
    </xf>
    <xf borderId="4" fillId="0" fontId="10" numFmtId="167" xfId="0" applyAlignment="1" applyBorder="1" applyFont="1" applyNumberFormat="1">
      <alignment horizontal="center" shrinkToFit="0" vertical="center" wrapText="1"/>
    </xf>
    <xf borderId="4" fillId="0" fontId="1" numFmtId="165" xfId="0" applyAlignment="1" applyBorder="1" applyFont="1" applyNumberFormat="1">
      <alignment horizontal="center" shrinkToFit="0" vertical="top" wrapText="1"/>
    </xf>
    <xf borderId="4" fillId="6" fontId="22" numFmtId="166" xfId="0" applyAlignment="1" applyBorder="1" applyFont="1" applyNumberFormat="1">
      <alignment horizontal="center" shrinkToFit="0" vertical="center" wrapText="1"/>
    </xf>
    <xf borderId="4" fillId="6" fontId="10" numFmtId="0" xfId="0" applyAlignment="1" applyBorder="1" applyFont="1">
      <alignment shrinkToFit="0" vertical="center" wrapText="1"/>
    </xf>
    <xf borderId="4" fillId="6" fontId="23" numFmtId="0" xfId="0" applyAlignment="1" applyBorder="1" applyFont="1">
      <alignment horizontal="center" shrinkToFit="0" vertical="center" wrapText="1"/>
    </xf>
    <xf borderId="6" fillId="6" fontId="24" numFmtId="0" xfId="0" applyAlignment="1" applyBorder="1" applyFont="1">
      <alignment horizontal="center" shrinkToFit="0" vertical="center" wrapText="1"/>
    </xf>
    <xf borderId="4" fillId="7" fontId="24" numFmtId="0" xfId="0" applyAlignment="1" applyBorder="1" applyFill="1" applyFont="1">
      <alignment shrinkToFit="0" vertical="center" wrapText="1"/>
    </xf>
    <xf borderId="4" fillId="6" fontId="24" numFmtId="0" xfId="0" applyAlignment="1" applyBorder="1" applyFont="1">
      <alignment horizontal="center" shrinkToFit="0" vertical="center" wrapText="1"/>
    </xf>
    <xf borderId="4" fillId="0" fontId="10" numFmtId="168" xfId="0" applyAlignment="1" applyBorder="1" applyFont="1" applyNumberFormat="1">
      <alignment horizontal="center" shrinkToFit="0" vertical="center" wrapText="1"/>
    </xf>
    <xf borderId="8" fillId="3" fontId="4"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8" fillId="4" fontId="25" numFmtId="0" xfId="0" applyAlignment="1" applyBorder="1" applyFont="1">
      <alignment horizontal="center" shrinkToFit="0" vertical="center" wrapText="1"/>
    </xf>
    <xf borderId="9" fillId="5" fontId="4" numFmtId="0" xfId="0" applyAlignment="1" applyBorder="1" applyFont="1">
      <alignment horizontal="center" shrinkToFit="0" vertical="center" wrapText="1"/>
    </xf>
    <xf borderId="4" fillId="6" fontId="10" numFmtId="0" xfId="0" applyAlignment="1" applyBorder="1" applyFont="1">
      <alignment horizontal="center" shrinkToFit="0" wrapText="1"/>
    </xf>
    <xf borderId="4" fillId="0" fontId="26" numFmtId="0" xfId="0" applyAlignment="1" applyBorder="1" applyFont="1">
      <alignment horizontal="center" shrinkToFit="0" vertical="center" wrapText="1"/>
    </xf>
    <xf borderId="4" fillId="6" fontId="27" numFmtId="0" xfId="0" applyAlignment="1" applyBorder="1" applyFont="1">
      <alignment horizontal="center" shrinkToFit="0" vertical="center" wrapText="1"/>
    </xf>
    <xf borderId="7" fillId="6" fontId="27" numFmtId="0" xfId="0" applyAlignment="1" applyBorder="1" applyFont="1">
      <alignment horizontal="center" shrinkToFit="0" wrapText="1"/>
    </xf>
    <xf borderId="7" fillId="0" fontId="10" numFmtId="0" xfId="0" applyAlignment="1" applyBorder="1" applyFont="1">
      <alignment horizontal="center" shrinkToFit="0" vertical="center" wrapText="1"/>
    </xf>
    <xf borderId="7" fillId="0" fontId="10" numFmtId="3" xfId="0" applyAlignment="1" applyBorder="1" applyFont="1" applyNumberFormat="1">
      <alignment horizontal="center" shrinkToFit="0" vertical="center" wrapText="1"/>
    </xf>
    <xf borderId="10" fillId="0" fontId="3" numFmtId="0" xfId="0" applyBorder="1" applyFont="1"/>
    <xf borderId="4" fillId="0" fontId="1" numFmtId="0" xfId="0" applyAlignment="1" applyBorder="1" applyFont="1">
      <alignment horizontal="left" shrinkToFit="0" vertical="top" wrapText="1"/>
    </xf>
    <xf borderId="1" fillId="0" fontId="4" numFmtId="0" xfId="0" applyAlignment="1" applyBorder="1" applyFont="1">
      <alignment horizontal="center" vertical="center"/>
    </xf>
    <xf borderId="4" fillId="6" fontId="10" numFmtId="164" xfId="0" applyAlignment="1" applyBorder="1" applyFont="1" applyNumberFormat="1">
      <alignment horizontal="center" shrinkToFit="0" vertical="center" wrapText="1"/>
    </xf>
    <xf borderId="4" fillId="0" fontId="10" numFmtId="164" xfId="0" applyAlignment="1" applyBorder="1" applyFont="1" applyNumberFormat="1">
      <alignment horizontal="center" shrinkToFit="0" vertical="center" wrapText="1"/>
    </xf>
    <xf borderId="4" fillId="0" fontId="10" numFmtId="165" xfId="0" applyAlignment="1" applyBorder="1" applyFont="1" applyNumberFormat="1">
      <alignment horizontal="center" shrinkToFit="0" vertical="top" wrapText="1"/>
    </xf>
    <xf borderId="10" fillId="0" fontId="12" numFmtId="0" xfId="0" applyAlignment="1" applyBorder="1" applyFont="1">
      <alignment horizontal="left" shrinkToFit="0" vertical="top" wrapText="1"/>
    </xf>
    <xf borderId="9" fillId="5" fontId="4" numFmtId="165" xfId="0" applyAlignment="1" applyBorder="1" applyFont="1" applyNumberFormat="1">
      <alignment horizontal="center" shrinkToFit="0" vertical="center" wrapText="1"/>
    </xf>
    <xf borderId="4" fillId="6" fontId="28" numFmtId="0" xfId="0" applyAlignment="1" applyBorder="1" applyFont="1">
      <alignment horizontal="center" shrinkToFit="0" vertical="center" wrapText="1"/>
    </xf>
    <xf borderId="4" fillId="6" fontId="29" numFmtId="0" xfId="0" applyAlignment="1" applyBorder="1" applyFont="1">
      <alignment horizontal="center" shrinkToFit="0" vertical="center" wrapText="1"/>
    </xf>
    <xf borderId="4" fillId="6" fontId="30"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4" fillId="6" fontId="31" numFmtId="164" xfId="0" applyAlignment="1" applyBorder="1" applyFont="1" applyNumberFormat="1">
      <alignment horizontal="center" shrinkToFit="0" vertical="center" wrapText="1"/>
    </xf>
    <xf borderId="4" fillId="6" fontId="27" numFmtId="0" xfId="0" applyAlignment="1" applyBorder="1" applyFont="1">
      <alignment shrinkToFit="0" vertical="center" wrapText="1"/>
    </xf>
    <xf borderId="4" fillId="6" fontId="1" numFmtId="164" xfId="0" applyAlignment="1" applyBorder="1" applyFont="1" applyNumberFormat="1">
      <alignment horizontal="center" shrinkToFit="0" vertical="center" wrapText="1"/>
    </xf>
    <xf borderId="7" fillId="0" fontId="10" numFmtId="164" xfId="0" applyAlignment="1" applyBorder="1" applyFont="1" applyNumberFormat="1">
      <alignment horizontal="center" shrinkToFit="0" vertical="center" wrapText="1"/>
    </xf>
    <xf borderId="4" fillId="0" fontId="10" numFmtId="0" xfId="0" applyAlignment="1" applyBorder="1" applyFont="1">
      <alignment horizontal="left" shrinkToFit="0" vertical="center" wrapText="1"/>
    </xf>
    <xf borderId="1" fillId="0" fontId="1" numFmtId="0" xfId="0" applyBorder="1" applyFont="1"/>
    <xf borderId="4" fillId="0" fontId="32" numFmtId="0" xfId="0" applyAlignment="1" applyBorder="1" applyFont="1">
      <alignment horizontal="center" shrinkToFit="0" vertical="center" wrapText="1"/>
    </xf>
    <xf borderId="5" fillId="6" fontId="33" numFmtId="166" xfId="0" applyAlignment="1" applyBorder="1" applyFont="1" applyNumberFormat="1">
      <alignment horizontal="center" shrinkToFit="0" vertical="center" wrapText="1"/>
    </xf>
    <xf borderId="4" fillId="0" fontId="10" numFmtId="0" xfId="0" applyAlignment="1" applyBorder="1" applyFont="1">
      <alignment horizontal="center" vertical="center"/>
    </xf>
    <xf borderId="6" fillId="6" fontId="10" numFmtId="0" xfId="0" applyAlignment="1" applyBorder="1" applyFont="1">
      <alignment horizontal="center" shrinkToFit="0" vertical="center" wrapText="1"/>
    </xf>
    <xf borderId="6" fillId="6" fontId="34" numFmtId="0" xfId="0" applyAlignment="1" applyBorder="1" applyFont="1">
      <alignment horizontal="center" shrinkToFit="0" vertical="center" wrapText="1"/>
    </xf>
    <xf borderId="6" fillId="6" fontId="28" numFmtId="0" xfId="0" applyAlignment="1" applyBorder="1" applyFont="1">
      <alignment horizontal="center" shrinkToFit="0" vertical="center" wrapText="1"/>
    </xf>
    <xf borderId="0" fillId="0" fontId="35" numFmtId="0" xfId="0" applyFont="1"/>
    <xf borderId="4" fillId="0" fontId="36" numFmtId="0" xfId="0" applyAlignment="1" applyBorder="1" applyFont="1">
      <alignment horizontal="center" shrinkToFit="0" vertical="center" wrapText="1"/>
    </xf>
    <xf borderId="4" fillId="7" fontId="24"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4" fillId="0" fontId="37" numFmtId="0" xfId="0" applyAlignment="1" applyBorder="1" applyFont="1">
      <alignment horizontal="center" shrinkToFit="0" vertical="center" wrapText="1"/>
    </xf>
    <xf borderId="4" fillId="6" fontId="1" numFmtId="0" xfId="0" applyAlignment="1" applyBorder="1" applyFont="1">
      <alignment horizontal="center" shrinkToFit="0" vertical="center" wrapText="1"/>
    </xf>
    <xf borderId="4" fillId="0" fontId="1" numFmtId="164" xfId="0" applyAlignment="1" applyBorder="1" applyFont="1" applyNumberFormat="1">
      <alignment horizontal="center" shrinkToFit="0" vertical="center" wrapText="1"/>
    </xf>
    <xf borderId="4" fillId="0" fontId="1" numFmtId="169" xfId="0" applyAlignment="1" applyBorder="1" applyFont="1" applyNumberFormat="1">
      <alignment horizontal="center" shrinkToFit="0" vertical="center" wrapText="1"/>
    </xf>
    <xf borderId="4" fillId="6" fontId="38" numFmtId="170" xfId="0" applyAlignment="1" applyBorder="1" applyFont="1" applyNumberFormat="1">
      <alignment horizontal="center" shrinkToFit="0" vertical="center" wrapText="1"/>
    </xf>
    <xf borderId="4" fillId="6" fontId="1" numFmtId="165" xfId="0" applyAlignment="1" applyBorder="1" applyFont="1" applyNumberFormat="1">
      <alignment horizontal="center" shrinkToFit="0" vertical="center" wrapText="1"/>
    </xf>
    <xf borderId="4" fillId="6" fontId="39" numFmtId="166" xfId="0" applyAlignment="1" applyBorder="1" applyFont="1" applyNumberFormat="1">
      <alignment horizontal="center" shrinkToFit="0" vertical="center" wrapText="1"/>
    </xf>
    <xf borderId="4" fillId="6" fontId="40" numFmtId="164" xfId="0" applyAlignment="1" applyBorder="1" applyFont="1" applyNumberFormat="1">
      <alignment horizontal="center" shrinkToFit="0" vertical="center" wrapText="1"/>
    </xf>
    <xf borderId="8" fillId="4" fontId="41" numFmtId="0" xfId="0" applyAlignment="1" applyBorder="1" applyFont="1">
      <alignment horizontal="center" readingOrder="0" shrinkToFit="0" vertical="center" wrapText="1"/>
    </xf>
    <xf borderId="4" fillId="0" fontId="1" numFmtId="165" xfId="0" applyAlignment="1" applyBorder="1" applyFont="1" applyNumberFormat="1">
      <alignment horizontal="center" shrinkToFit="0" vertical="center" wrapText="1"/>
    </xf>
    <xf borderId="4" fillId="6" fontId="1" numFmtId="0" xfId="0" applyAlignment="1" applyBorder="1" applyFont="1">
      <alignment horizontal="center" shrinkToFit="0" wrapText="1"/>
    </xf>
    <xf borderId="4" fillId="6" fontId="4" numFmtId="164" xfId="0" applyAlignment="1" applyBorder="1" applyFont="1" applyNumberFormat="1">
      <alignment horizontal="center" shrinkToFit="0" vertical="center" wrapText="1"/>
    </xf>
    <xf borderId="4" fillId="6" fontId="4" numFmtId="0" xfId="0" applyAlignment="1" applyBorder="1" applyFont="1">
      <alignment horizontal="center" shrinkToFit="0" vertical="center" wrapText="1"/>
    </xf>
    <xf borderId="4" fillId="7" fontId="1" numFmtId="0" xfId="0" applyAlignment="1" applyBorder="1" applyFont="1">
      <alignment horizontal="center" shrinkToFit="0" vertical="center" wrapText="1"/>
    </xf>
    <xf borderId="4" fillId="0" fontId="1" numFmtId="166" xfId="0" applyAlignment="1" applyBorder="1" applyFont="1" applyNumberFormat="1">
      <alignment horizontal="center" shrinkToFit="0" vertical="center" wrapText="1"/>
    </xf>
    <xf borderId="10" fillId="0" fontId="12" numFmtId="3" xfId="0" applyAlignment="1" applyBorder="1" applyFont="1" applyNumberFormat="1">
      <alignment horizontal="center" shrinkToFit="0" vertical="top" wrapText="1"/>
    </xf>
    <xf borderId="4" fillId="0" fontId="12" numFmtId="3" xfId="0" applyAlignment="1" applyBorder="1" applyFont="1" applyNumberFormat="1">
      <alignment horizontal="center" shrinkToFit="0" vertical="top" wrapText="1"/>
    </xf>
    <xf borderId="4" fillId="0" fontId="1" numFmtId="0" xfId="0" applyAlignment="1" applyBorder="1" applyFont="1">
      <alignment horizontal="center" shrinkToFit="0" vertical="top" wrapText="1"/>
    </xf>
    <xf borderId="4" fillId="0" fontId="42" numFmtId="0" xfId="0" applyAlignment="1" applyBorder="1" applyFont="1">
      <alignment horizontal="center" shrinkToFit="0" vertical="top" wrapText="1"/>
    </xf>
    <xf borderId="4" fillId="0" fontId="43" numFmtId="169" xfId="0" applyAlignment="1" applyBorder="1" applyFont="1" applyNumberFormat="1">
      <alignment horizontal="center" shrinkToFit="0" vertical="center" wrapText="1"/>
    </xf>
    <xf borderId="4" fillId="0" fontId="1" numFmtId="169" xfId="0" applyAlignment="1" applyBorder="1" applyFont="1" applyNumberFormat="1">
      <alignment horizontal="center" shrinkToFit="0" vertical="top" wrapText="1"/>
    </xf>
    <xf borderId="4" fillId="0" fontId="43" numFmtId="166" xfId="0" applyAlignment="1" applyBorder="1" applyFont="1" applyNumberFormat="1">
      <alignment horizontal="center" shrinkToFit="0" vertical="center" wrapText="1"/>
    </xf>
    <xf borderId="4" fillId="0" fontId="43" numFmtId="0" xfId="0" applyAlignment="1" applyBorder="1" applyFont="1">
      <alignment horizontal="center" shrinkToFit="0" vertical="center" wrapText="1"/>
    </xf>
    <xf borderId="4" fillId="8" fontId="43" numFmtId="0" xfId="0" applyAlignment="1" applyBorder="1" applyFill="1" applyFont="1">
      <alignment horizontal="center" shrinkToFit="0" vertical="center" wrapText="1"/>
    </xf>
    <xf borderId="4" fillId="0" fontId="44" numFmtId="0" xfId="0" applyAlignment="1" applyBorder="1" applyFont="1">
      <alignment horizontal="center" shrinkToFit="0" vertical="center" wrapText="1"/>
    </xf>
    <xf borderId="4" fillId="0" fontId="1" numFmtId="0" xfId="0" applyAlignment="1" applyBorder="1" applyFont="1">
      <alignment shrinkToFit="0" vertical="center" wrapText="1"/>
    </xf>
    <xf borderId="4" fillId="9" fontId="1" numFmtId="0" xfId="0" applyAlignment="1" applyBorder="1" applyFill="1" applyFont="1">
      <alignment shrinkToFit="0" vertical="center" wrapText="1"/>
    </xf>
    <xf borderId="4" fillId="0" fontId="45" numFmtId="0" xfId="0" applyAlignment="1" applyBorder="1" applyFont="1">
      <alignment shrinkToFit="0" vertical="center" wrapText="1"/>
    </xf>
    <xf borderId="4" fillId="0" fontId="1" numFmtId="164" xfId="0" applyAlignment="1" applyBorder="1" applyFont="1" applyNumberFormat="1">
      <alignment shrinkToFit="0" vertical="center" wrapText="1"/>
    </xf>
    <xf borderId="4" fillId="0" fontId="1" numFmtId="165" xfId="0" applyAlignment="1" applyBorder="1" applyFont="1" applyNumberFormat="1">
      <alignment shrinkToFit="0" vertical="center" wrapText="1"/>
    </xf>
    <xf borderId="4" fillId="9" fontId="46" numFmtId="0" xfId="0" applyAlignment="1" applyBorder="1" applyFont="1">
      <alignment shrinkToFit="0" vertical="center" wrapText="1"/>
    </xf>
    <xf borderId="4" fillId="0" fontId="1" numFmtId="164" xfId="0" applyAlignment="1" applyBorder="1" applyFont="1" applyNumberFormat="1">
      <alignment horizontal="center" shrinkToFit="0" vertical="top" wrapText="1"/>
    </xf>
    <xf borderId="4" fillId="0" fontId="1" numFmtId="166" xfId="0" applyAlignment="1" applyBorder="1" applyFont="1" applyNumberFormat="1">
      <alignment horizontal="center" shrinkToFit="0" vertical="top" wrapText="1"/>
    </xf>
    <xf borderId="4" fillId="6"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rticulo.mercadolibre.com.co/MCO-1194697164-cpu-torre-core-i5-16ramhd500-monitor-19-_JM"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3" Type="http://schemas.openxmlformats.org/officeDocument/2006/relationships/hyperlink" Target="https://powerdeal.com.co/collections/pc-gamer-ensamblados/products/pc-torre-ghost-amd-ryzen-athlon-3000g-8gb-ssd-500-gb-sata-p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ercadolibre.com.co/monitor-curvo-27-fhd-diseno-sin-bordes-color-black-100v240v/p/MCO17431651?pdp_filters=category%3AMCO1656&amp;quantity=3" TargetMode="External"/><Relationship Id="rId2" Type="http://schemas.openxmlformats.org/officeDocument/2006/relationships/hyperlink" Target="https://www.alkosto.com/monitor-samsung-gamer-24-pulgadas-g320nl-plano-negro/p/8806094113846" TargetMode="External"/><Relationship Id="rId3" Type="http://schemas.openxmlformats.org/officeDocument/2006/relationships/hyperlink" Target="https://www.alkosto.com/monitor-samsung-32-pulgadas-cm500-smart-display-negro/p/880609502016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mercadolibre.com.co/disco-solido-ssd-interno-crucial-ct500bx500ssd1-500gb-negro/p/MCO19614825?pdp_filters=category:MCO1672" TargetMode="External"/><Relationship Id="rId2" Type="http://schemas.openxmlformats.org/officeDocument/2006/relationships/hyperlink" Target="https://www.falabella.com.co/falabella-co/product/118315377/Unidad-Estado-Solido-SSD-Interno-Adata-XPG-S40G-1TB/118315378"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rcadolibre.com.co/disco-solido-ssd-interno-kingston-sa400s37240gb-negro/p/MCO19035706?pdp_filters=category:MCO1672" TargetMode="External"/><Relationship Id="rId2" Type="http://schemas.openxmlformats.org/officeDocument/2006/relationships/hyperlink" Target="https://www.ktronix.com/disco-duro-toshiba-basic-2tb/p/723844001346"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rticulo.mercadolibre.com.co/MCO-1294185577-poweredge-t150-tower-server-intel-xeon-e-2336g16gb2tb-_JM" TargetMode="External"/><Relationship Id="rId2" Type="http://schemas.openxmlformats.org/officeDocument/2006/relationships/hyperlink" Target="https://articulo.mercadolibre.com.co/MCO-1318522727-servidor-hp-proliant-ml310e-gen8-v2-r16gb-ssd480-xeon-31ghz-_JM" TargetMode="External"/><Relationship Id="rId3" Type="http://schemas.openxmlformats.org/officeDocument/2006/relationships/hyperlink" Target="https://articulo.mercadolibre.com.co/MCO-1318522727-servidor-hp-proliant-ml310e-gen8-v2-r16gb-ssd480-xeon-31ghz-_JM"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speedlogic.com.co/tienda/memorias-ram/memoria-ram-ddr4-16g-3200-cors" TargetMode="External"/><Relationship Id="rId2" Type="http://schemas.openxmlformats.org/officeDocument/2006/relationships/hyperlink" Target="https://listado.mercadolibre.com.co/memoria-ddr4-16gb" TargetMode="External"/><Relationship Id="rId3" Type="http://schemas.openxmlformats.org/officeDocument/2006/relationships/hyperlink" Target="https://tecnostock.com.co/products/crucial-laptop-ddr4-3200-mhz-sodimm-memory-module?variant=46808587370781&amp;currency=COP&amp;utm_medium=product_sync&amp;utm_source=google&amp;utm_content=sag_organic&amp;utm_campaign=sag_organic&amp;srsltid=AfmBOoqET5a1tgCjO-30b6IPBqHaFs9VneMJjDgoKfxpm8XhSgHhZF9ABDc"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falabella.com.co/falabella-co/product/130536287/Combo-Dell-Wireless-Km3322w-Teclado-+-Mouse/130536288" TargetMode="External"/><Relationship Id="rId2" Type="http://schemas.openxmlformats.org/officeDocument/2006/relationships/hyperlink" Target="https://www.alkosto.com/teclado-hp-alambrico-150-basic-negro/p/196548244195"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mercadolibre.com.co/mouse-gamer-vertical-inalambrico-recargable-weibo-wb-881-negro/p/MCO16051104?pdp_filters=item_id:MCO2027339616" TargetMode="External"/><Relationship Id="rId2" Type="http://schemas.openxmlformats.org/officeDocument/2006/relationships/hyperlink" Target="https://www.amazon.com/AmazonBasics-Rat%C3%B3n-computadora-botones-paquete/dp/B005EJH6RW/ref=sr_1_1_ffob_sspa?adgrpid=76518563943&amp;dib=eyJ2IjoiMSJ9.caTNles2EQzXmYsVaF0sPWElmTAbfPn8TEbeABR0G9o84hDg74tGjW-PbETNTqLxtMID4w5lIQF8m7j5KPrX60kFeTUY-IKKj1s5-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 TargetMode="External"/><Relationship Id="rId3" Type="http://schemas.openxmlformats.org/officeDocument/2006/relationships/hyperlink" Target="https://expocolsuministros.com/product/mouse-logitech-g-inalambrico-gaming-g305-lila/"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articulo.mercadolibre.com.co/MCO-1402404819-portatil-lenovo-ryzen-7-5825u-ram-24gb-solido-512gb-fhd-_JM?matt_tool=20886709&amp;matt_word=&amp;matt_source=google&amp;matt_campaign_id=20916441025&amp;matt_ad_group_id=156972020149&amp;matt_match_type=&amp;matt_network=g&amp;matt_device=c&amp;matt_creative=686533174229&amp;matt_keyword=&amp;matt_ad_position=&amp;matt_ad_type=pla&amp;matt_merchant_id=479586281&amp;matt_product_id=MCO1402404819&amp;matt_product_partition_id=2271169143581&amp;matt_target_id=pla-2271169143581&amp;cq_src=google_ads&amp;cq_cmp=20916441025&amp;cq_net=g&amp;cq_plt=gp&amp;cq_med=pla&amp;gad_source=1&amp;gclid=Cj0KCQjwltKxBhDMARIsAG8KnqUle6bx9CLf9aNeFB_TQ_sXvdvRZ6pU2IEDLCUUxUcyk94JFSDLMIkaArdBEALw_wcB" TargetMode="External"/><Relationship Id="rId2" Type="http://schemas.openxmlformats.org/officeDocument/2006/relationships/hyperlink" Target="https://www.alkosto.com/computador-portatil-asus-vivobook-156-pulgadas-x1504za-intel-core-i5-ram-8gb-disco-ssd-512-gb-azul/p/4711387276068" TargetMode="External"/><Relationship Id="rId3" Type="http://schemas.openxmlformats.org/officeDocument/2006/relationships/hyperlink" Target="https://www.ktronix.com/computador-portatil-hp-pavilion-156-pulgadas-eg2526la-intel-core-i5-ram-8gb-disco-ssd-512gb-azul/p/198122317813"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lkosto.com/monitor-samsung-gamer-32-pulgadas-ag320-plano-negro/p/887276595368" TargetMode="External"/><Relationship Id="rId2" Type="http://schemas.openxmlformats.org/officeDocument/2006/relationships/hyperlink" Target="https://www.falabella.com.co/falabella-co/product/122186554/Monitor-ThinkVision-M14-movil-con-pantalla-tactil-14%E2%80%9D/122186555" TargetMode="External"/><Relationship Id="rId3" Type="http://schemas.openxmlformats.org/officeDocument/2006/relationships/hyperlink" Target="https://www.mercadolibre.com.co/monitor-gamer-lg-ultragear-27gr75q-lcd-27-negro-100v240v/p/MCO24122328?pdp_filters=item_id:MCO1413629089"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mercadolibre.com.co/disco-duro-interno-western-digital-wd5000lpzx-25in-500gb-hdd-sata-iii-plata/p/MCO21709406?pdp_filters=category%3AMCO1672" TargetMode="External"/><Relationship Id="rId2" Type="http://schemas.openxmlformats.org/officeDocument/2006/relationships/hyperlink" Target="https://speedlogic.com.co/tienda/unidades-disco-mecanico/disco-externo-usb-1-tb-toshiba-25-3-0/" TargetMode="External"/><Relationship Id="rId3" Type="http://schemas.openxmlformats.org/officeDocument/2006/relationships/hyperlink" Target="https://www.pcware.com.co/kingston-250-gb-ssd-nvme-nv1-pcie-m-2-2280-gen-3-0-4-carriles-snvs-250g"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amazon.com/ZimaBoard-servidor-Computadora-Almacenamiento-multimedia/dp/B0BKL7YPBQ/ref=sr_1_1_sspa?adgrpid=155794384686&amp;dib=eyJ2IjoiMSJ9.vYi2pIIiGRBedIr2jKVR4ybPOOFZSWbEDb958QPq9NarZfdDgLhPG1rwbxctloAyzlgEiJT22MxWfeOLuojU9lMgaWCspcaWFdcfhotfIJLw4HKo4BMqEq3usCY3QITk_O9c8ve6tss3sWwYeNc004FfpXfPf7LJv1GbZxOGSii9Zo-V7IZ_1V_HKTu3oHC3by1vwuC41wtIhixDpZLzPkPqyy3a8UQThf6lEfmQBG8.ce6UuJy1KMSj4ZCWiuK1ejBTgg8_WeHUDg2rWRQxGWE&amp;dib_tag=se&amp;hvadid=685760356930&amp;hvdev=c&amp;hvlocphy=1003659&amp;hvnetw=g&amp;hvqmt=e&amp;hvrand=12856362696261638438&amp;hvtargid=kwd-333776316623&amp;hydadcr=2263_13512609&amp;keywords=servidores+computadora&amp;qid=1714839274&amp;sr=8-1-spons&amp;sp_csd=d2lkZ2V0TmFtZT1zcF9hdGY&amp;psc=1" TargetMode="External"/><Relationship Id="rId2" Type="http://schemas.openxmlformats.org/officeDocument/2006/relationships/hyperlink" Target="https://articulo.mercadolibre.com.co/MCO-2256411732-servidor-dell-power-edge-t40-intel-xeon-35-ghz-8g-1tb-_JM" TargetMode="External"/><Relationship Id="rId3" Type="http://schemas.openxmlformats.org/officeDocument/2006/relationships/hyperlink" Target="https://articulo.mercadolibre.com.co/MCO-1317854809-cpu-dell-optiplex-5090-core-i5-10ma-gen-8gb-512gb-open-box-_JM?variation="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mercadolibre.com.co/memoria-ram-samsung-8gb-ddr3-1600mhz-portatil-laptop/p/MCO14924731?pdp_filters=item_id:MCO1541573376" TargetMode="External"/><Relationship Id="rId2" Type="http://schemas.openxmlformats.org/officeDocument/2006/relationships/hyperlink" Target="https://clonesyperifericos.com/comprar/memoria-ram-corsair-vengeance-rgb-ddr5-48gb-2x24-gb-6000-mhz/" TargetMode="External"/><Relationship Id="rId3" Type="http://schemas.openxmlformats.org/officeDocument/2006/relationships/hyperlink" Target="https://www.pcware.com.co/kingston-8gb-ddr4-pc4-3200mhz-cl-22-260-pin-1-2-v-64bits-non-ecc-kvr32s22s6-8"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ercadolibre.com.co/tarjeta-de-video-g210-1gb-ddr3-hdmi-pci-e/p/MCO36538858?pdp_filters=item_id:MCO2359750672" TargetMode="External"/><Relationship Id="rId2" Type="http://schemas.openxmlformats.org/officeDocument/2006/relationships/hyperlink" Target="https://clonesyperifericos.com/comprar/tarjeta-xfx-amd-radeon-rx-580-gts-edicion-xxx-8gb/" TargetMode="External"/><Relationship Id="rId3" Type="http://schemas.openxmlformats.org/officeDocument/2006/relationships/hyperlink" Target="https://www.compulago.com/producto/tarjeta-video-20-gb-ddr5-asrock-phantom-gaming-rx-550-1102336897/"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mercadolibre.com.co/procesador-intel-core-i5-14600k-35-ghz-socket-1700/p/MCO28087623" TargetMode="External"/><Relationship Id="rId2" Type="http://schemas.openxmlformats.org/officeDocument/2006/relationships/hyperlink" Target="https://cometware.com/intel-core-i5-13600k-f-3-5ghz-6p-8e-20-hilos-raptor-lake-procesador-1.html" TargetMode="External"/><Relationship Id="rId3" Type="http://schemas.openxmlformats.org/officeDocument/2006/relationships/hyperlink" Target="https://articulo.mercadolibre.com.co/MCO-1841202220-combo-board-h610m-procesador-intel-core-i7-13700f-pc-_JM"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falabella.com.co/falabella-co/product/3032470/Teclado-Logitech-Inalambrico-K400-Plus-con-touch-pad-para-TV.-Apto-para-TV-y-PC/3032470" TargetMode="External"/><Relationship Id="rId2" Type="http://schemas.openxmlformats.org/officeDocument/2006/relationships/hyperlink" Target="https://www.mercadolibre.com.co/teclado-mecanico-gamer-unitec-mk20-retroiluminado-color-del-teclado-plateado/p/MCO23026811?pdp_filters=item_id:MCO1366192149" TargetMode="External"/><Relationship Id="rId3" Type="http://schemas.openxmlformats.org/officeDocument/2006/relationships/hyperlink" Target="https://www.compulago.com/producto/teclado-usb-genius-slimstar-230-multimedia-362702337905/"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mercadolibre.com.co/logitech-g203-lightsync-mouse-gamer-rgb-6-botones-8000dpi-color-negro/p/MCO16211422?pdp_filters=category:MCO1714" TargetMode="External"/><Relationship Id="rId2" Type="http://schemas.openxmlformats.org/officeDocument/2006/relationships/hyperlink" Target="https://www.falabella.com.co/falabella-co/product/128340144/Mouse-Gamer-Logitech-G304-Lightspeed-Wireless/128340147" TargetMode="External"/><Relationship Id="rId3" Type="http://schemas.openxmlformats.org/officeDocument/2006/relationships/hyperlink" Target="https://www.ktronix.com/mouse-hyperx-alambrico-optico-pulsefire-core-6200dpi-rgb-gaming/p/196188043127?utm_source=google&amp;utm_medium=organic&amp;utm_campaign=Shopping-organico"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systorecolombia.com/59-windows" TargetMode="External"/><Relationship Id="rId2" Type="http://schemas.openxmlformats.org/officeDocument/2006/relationships/hyperlink" Target="https://systorecolombia.com/windows/942-microsoft-windows-11-profesional-ggk-kit-de-legalizacion-64-bits-oem-4yr-00229.html" TargetMode="External"/><Relationship Id="rId3" Type="http://schemas.openxmlformats.org/officeDocument/2006/relationships/hyperlink" Target="https://systorecolombia.com/windows/643-microsoft-windows-10-profesional-a-64-bits-usb-transferible-fqc-08788.html"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visualstudio.microsoft.com/es/vs/pricing/"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microsoft.com/es-co/"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systorecolombia.com/server/252-licencia-sql-server-standard-2019-perpetua-dg7gmgf0fkx9.html" TargetMode="External"/><Relationship Id="rId2"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7" t="s">
        <v>3</v>
      </c>
      <c r="C7" s="7" t="s">
        <v>4</v>
      </c>
      <c r="D7" s="7" t="s">
        <v>5</v>
      </c>
      <c r="E7" s="7" t="s">
        <v>6</v>
      </c>
      <c r="F7" s="8" t="s">
        <v>7</v>
      </c>
      <c r="G7" s="9" t="s">
        <v>8</v>
      </c>
      <c r="H7" s="7" t="s">
        <v>9</v>
      </c>
      <c r="I7" s="7" t="s">
        <v>10</v>
      </c>
      <c r="J7" s="7" t="s">
        <v>11</v>
      </c>
      <c r="K7" s="10"/>
      <c r="L7" s="10"/>
      <c r="M7" s="10"/>
      <c r="N7" s="10"/>
      <c r="O7" s="10"/>
      <c r="P7" s="10"/>
      <c r="Q7" s="10"/>
      <c r="R7" s="10"/>
      <c r="S7" s="10"/>
      <c r="T7" s="10"/>
      <c r="U7" s="10"/>
      <c r="V7" s="10"/>
      <c r="W7" s="10"/>
      <c r="X7" s="10"/>
      <c r="Y7" s="10"/>
      <c r="Z7" s="10"/>
    </row>
    <row r="8" ht="50.25" customHeight="1">
      <c r="A8" s="11" t="s">
        <v>12</v>
      </c>
      <c r="B8" s="12" t="s">
        <v>13</v>
      </c>
      <c r="C8" s="13" t="s">
        <v>14</v>
      </c>
      <c r="D8" s="14" t="s">
        <v>15</v>
      </c>
      <c r="E8" s="15">
        <v>712732.0</v>
      </c>
      <c r="F8" s="15">
        <v>135419.0</v>
      </c>
      <c r="G8" s="16">
        <f t="shared" ref="G8:G10" si="1">(E8+F8)/3900</f>
        <v>217.4746154</v>
      </c>
      <c r="H8" s="17">
        <f t="shared" ref="H8:H10" si="2">G8*3900</f>
        <v>848151</v>
      </c>
      <c r="I8" s="18" t="s">
        <v>16</v>
      </c>
      <c r="J8" s="19" t="s">
        <v>17</v>
      </c>
    </row>
    <row r="9" ht="50.25" customHeight="1">
      <c r="A9" s="11" t="s">
        <v>18</v>
      </c>
      <c r="B9" s="20" t="s">
        <v>19</v>
      </c>
      <c r="C9" s="13" t="s">
        <v>20</v>
      </c>
      <c r="D9" s="21" t="s">
        <v>21</v>
      </c>
      <c r="E9" s="15">
        <v>589990.0</v>
      </c>
      <c r="F9" s="15">
        <v>112098.1</v>
      </c>
      <c r="G9" s="16">
        <f t="shared" si="1"/>
        <v>180.0225897</v>
      </c>
      <c r="H9" s="17">
        <f t="shared" si="2"/>
        <v>702088.1</v>
      </c>
      <c r="I9" s="18" t="s">
        <v>16</v>
      </c>
      <c r="J9" s="22" t="s">
        <v>22</v>
      </c>
    </row>
    <row r="10" ht="50.25" customHeight="1">
      <c r="A10" s="11" t="s">
        <v>23</v>
      </c>
      <c r="B10" s="12" t="s">
        <v>24</v>
      </c>
      <c r="C10" s="13" t="s">
        <v>25</v>
      </c>
      <c r="D10" s="23" t="s">
        <v>26</v>
      </c>
      <c r="E10" s="15">
        <v>892000.0</v>
      </c>
      <c r="F10" s="15">
        <v>169480.0</v>
      </c>
      <c r="G10" s="16">
        <f t="shared" si="1"/>
        <v>272.174359</v>
      </c>
      <c r="H10" s="17">
        <f t="shared" si="2"/>
        <v>1061480</v>
      </c>
      <c r="I10" s="18" t="s">
        <v>16</v>
      </c>
      <c r="J10" s="24" t="s">
        <v>27</v>
      </c>
    </row>
    <row r="11" ht="15.0" hidden="1" customHeight="1">
      <c r="A11" s="25"/>
      <c r="B11" s="26"/>
      <c r="C11" s="26"/>
      <c r="D11" s="26"/>
      <c r="E11" s="26"/>
      <c r="F11" s="26"/>
      <c r="G11" s="26"/>
      <c r="H11" s="26"/>
      <c r="I11" s="26"/>
      <c r="J11" s="26"/>
    </row>
    <row r="12" ht="12.75" customHeight="1"/>
    <row r="13" ht="138.75" customHeight="1">
      <c r="A13" s="27" t="s">
        <v>28</v>
      </c>
      <c r="B13" s="4"/>
      <c r="C13" s="4"/>
      <c r="D13" s="4"/>
      <c r="E13" s="4"/>
      <c r="F13" s="4"/>
      <c r="G13" s="4"/>
      <c r="H13" s="4"/>
      <c r="I13" s="4"/>
      <c r="J13" s="5"/>
    </row>
    <row r="14" ht="12.75" customHeight="1"/>
    <row r="15" ht="75.0" customHeight="1">
      <c r="A15" s="27" t="s">
        <v>29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15:J15"/>
    <mergeCell ref="A13:J13"/>
    <mergeCell ref="A5:J5"/>
  </mergeCells>
  <hyperlinks>
    <hyperlink r:id="rId1" location="position=27&amp;search_layout=stack&amp;type=item&amp;tracking_id=22ccce83-15fd-498b-821b-fb60ba69422b" ref="C8"/>
    <hyperlink r:id="rId2" ref="C9"/>
    <hyperlink r:id="rId3" ref="C10"/>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29" t="s">
        <v>30</v>
      </c>
      <c r="C7" s="29" t="s">
        <v>31</v>
      </c>
      <c r="D7" s="29" t="s">
        <v>32</v>
      </c>
      <c r="E7" s="29" t="s">
        <v>33</v>
      </c>
      <c r="F7" s="30" t="s">
        <v>34</v>
      </c>
      <c r="G7" s="9" t="s">
        <v>35</v>
      </c>
      <c r="H7" s="29" t="s">
        <v>9</v>
      </c>
      <c r="I7" s="29" t="s">
        <v>36</v>
      </c>
      <c r="J7" s="29" t="s">
        <v>37</v>
      </c>
      <c r="K7" s="10"/>
      <c r="L7" s="10"/>
      <c r="M7" s="10"/>
      <c r="N7" s="10"/>
      <c r="O7" s="10"/>
      <c r="P7" s="10"/>
      <c r="Q7" s="10"/>
      <c r="R7" s="10"/>
      <c r="S7" s="10"/>
      <c r="T7" s="10"/>
      <c r="U7" s="10"/>
      <c r="V7" s="10"/>
      <c r="W7" s="10"/>
      <c r="X7" s="10"/>
      <c r="Y7" s="10"/>
      <c r="Z7" s="10"/>
    </row>
    <row r="8" ht="75.0" customHeight="1">
      <c r="A8" s="29" t="s">
        <v>12</v>
      </c>
      <c r="B8" s="31" t="s">
        <v>38</v>
      </c>
      <c r="C8" s="32" t="s">
        <v>39</v>
      </c>
      <c r="D8" s="33" t="s">
        <v>40</v>
      </c>
      <c r="E8" s="34">
        <v>715300.0</v>
      </c>
      <c r="F8" s="34">
        <v>135907.0</v>
      </c>
      <c r="G8" s="35">
        <f t="shared" ref="G8:G10" si="1">(E8+F8)/3900</f>
        <v>218.2582051</v>
      </c>
      <c r="H8" s="36">
        <f t="shared" ref="H8:H10" si="2">G8*3900</f>
        <v>851207</v>
      </c>
      <c r="I8" s="33" t="s">
        <v>16</v>
      </c>
      <c r="J8" s="37" t="s">
        <v>41</v>
      </c>
    </row>
    <row r="9" ht="50.25" customHeight="1">
      <c r="A9" s="29" t="s">
        <v>18</v>
      </c>
      <c r="B9" s="31" t="s">
        <v>42</v>
      </c>
      <c r="C9" s="38" t="s">
        <v>43</v>
      </c>
      <c r="D9" s="39" t="s">
        <v>44</v>
      </c>
      <c r="E9" s="34">
        <v>699000.0</v>
      </c>
      <c r="F9" s="34">
        <v>132810.0</v>
      </c>
      <c r="G9" s="35">
        <f t="shared" si="1"/>
        <v>213.2846154</v>
      </c>
      <c r="H9" s="36">
        <f t="shared" si="2"/>
        <v>831810</v>
      </c>
      <c r="I9" s="33" t="s">
        <v>16</v>
      </c>
      <c r="J9" s="40" t="s">
        <v>45</v>
      </c>
    </row>
    <row r="10" ht="50.25" customHeight="1">
      <c r="A10" s="29" t="s">
        <v>23</v>
      </c>
      <c r="B10" s="31" t="s">
        <v>42</v>
      </c>
      <c r="C10" s="13" t="s">
        <v>46</v>
      </c>
      <c r="D10" s="41" t="s">
        <v>47</v>
      </c>
      <c r="E10" s="42">
        <v>1199900.0</v>
      </c>
      <c r="F10" s="34">
        <v>227981.0</v>
      </c>
      <c r="G10" s="35">
        <f t="shared" si="1"/>
        <v>366.1233333</v>
      </c>
      <c r="H10" s="36">
        <f t="shared" si="2"/>
        <v>1427881</v>
      </c>
      <c r="I10" s="33" t="s">
        <v>16</v>
      </c>
      <c r="J10" s="40" t="s">
        <v>48</v>
      </c>
    </row>
    <row r="11" ht="15.0" hidden="1" customHeight="1">
      <c r="A11" s="25"/>
      <c r="B11" s="26"/>
      <c r="C11" s="26"/>
      <c r="D11" s="26"/>
      <c r="E11" s="26"/>
      <c r="F11" s="26"/>
      <c r="G11" s="26"/>
      <c r="H11" s="26"/>
      <c r="I11" s="26"/>
      <c r="J11" s="26"/>
    </row>
    <row r="12" ht="12.75" customHeight="1"/>
    <row r="13" ht="138.75" customHeight="1">
      <c r="A13" s="27" t="s">
        <v>49</v>
      </c>
      <c r="B13" s="4"/>
      <c r="C13" s="4"/>
      <c r="D13" s="4"/>
      <c r="E13" s="4"/>
      <c r="F13" s="4"/>
      <c r="G13" s="4"/>
      <c r="H13" s="4"/>
      <c r="I13" s="4"/>
      <c r="J13" s="5"/>
    </row>
    <row r="14" ht="12.75" customHeight="1"/>
    <row r="15" ht="75.0" customHeight="1">
      <c r="A15" s="27" t="s">
        <v>50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43" t="s">
        <v>2</v>
      </c>
      <c r="B7" s="44" t="s">
        <v>51</v>
      </c>
      <c r="C7" s="44" t="s">
        <v>52</v>
      </c>
      <c r="D7" s="44" t="s">
        <v>53</v>
      </c>
      <c r="E7" s="44" t="s">
        <v>54</v>
      </c>
      <c r="F7" s="45" t="s">
        <v>55</v>
      </c>
      <c r="G7" s="46" t="s">
        <v>56</v>
      </c>
      <c r="H7" s="44" t="s">
        <v>9</v>
      </c>
      <c r="I7" s="44" t="s">
        <v>57</v>
      </c>
      <c r="J7" s="44" t="s">
        <v>58</v>
      </c>
      <c r="K7" s="10"/>
      <c r="L7" s="10"/>
      <c r="M7" s="10"/>
      <c r="N7" s="10"/>
      <c r="O7" s="10"/>
      <c r="P7" s="10"/>
      <c r="Q7" s="10"/>
      <c r="R7" s="10"/>
      <c r="S7" s="10"/>
      <c r="T7" s="10"/>
      <c r="U7" s="10"/>
      <c r="V7" s="10"/>
      <c r="W7" s="10"/>
      <c r="X7" s="10"/>
      <c r="Y7" s="10"/>
      <c r="Z7" s="10"/>
    </row>
    <row r="8" ht="50.25" customHeight="1">
      <c r="A8" s="11" t="s">
        <v>12</v>
      </c>
      <c r="B8" s="33" t="s">
        <v>13</v>
      </c>
      <c r="C8" s="13" t="s">
        <v>59</v>
      </c>
      <c r="D8" s="14" t="s">
        <v>60</v>
      </c>
      <c r="E8" s="42">
        <v>159900.0</v>
      </c>
      <c r="F8" s="34">
        <v>30381.0</v>
      </c>
      <c r="G8" s="35">
        <f t="shared" ref="G8:G10" si="1">(E8+F8)/3900</f>
        <v>48.79</v>
      </c>
      <c r="H8" s="36">
        <f t="shared" ref="H8:H10" si="2">G8*3900</f>
        <v>190281</v>
      </c>
      <c r="I8" s="33" t="s">
        <v>61</v>
      </c>
      <c r="J8" s="47" t="s">
        <v>62</v>
      </c>
    </row>
    <row r="9" ht="77.25" customHeight="1">
      <c r="A9" s="11" t="s">
        <v>18</v>
      </c>
      <c r="B9" s="48" t="s">
        <v>63</v>
      </c>
      <c r="C9" s="13" t="s">
        <v>64</v>
      </c>
      <c r="D9" s="49" t="s">
        <v>65</v>
      </c>
      <c r="E9" s="42">
        <v>549900.0</v>
      </c>
      <c r="F9" s="33">
        <v>104481.0</v>
      </c>
      <c r="G9" s="35">
        <f t="shared" si="1"/>
        <v>167.79</v>
      </c>
      <c r="H9" s="36">
        <f t="shared" si="2"/>
        <v>654381</v>
      </c>
      <c r="I9" s="33" t="s">
        <v>61</v>
      </c>
      <c r="J9" s="50" t="s">
        <v>66</v>
      </c>
    </row>
    <row r="10" ht="50.25" customHeight="1">
      <c r="A10" s="11" t="s">
        <v>23</v>
      </c>
      <c r="B10" s="51" t="s">
        <v>67</v>
      </c>
      <c r="C10" s="33" t="s">
        <v>68</v>
      </c>
      <c r="D10" s="51" t="s">
        <v>65</v>
      </c>
      <c r="E10" s="52">
        <v>304900.0</v>
      </c>
      <c r="F10" s="51">
        <v>57931.0</v>
      </c>
      <c r="G10" s="35">
        <f t="shared" si="1"/>
        <v>93.03358974</v>
      </c>
      <c r="H10" s="36">
        <f t="shared" si="2"/>
        <v>362831</v>
      </c>
      <c r="I10" s="33" t="s">
        <v>61</v>
      </c>
      <c r="J10" s="53"/>
    </row>
    <row r="11" ht="15.0" hidden="1" customHeight="1">
      <c r="A11" s="25"/>
      <c r="B11" s="53"/>
      <c r="C11" s="33">
        <v>3.00892144E9</v>
      </c>
      <c r="D11" s="53"/>
      <c r="E11" s="53"/>
      <c r="F11" s="53"/>
      <c r="G11" s="54"/>
      <c r="H11" s="54"/>
      <c r="I11" s="54"/>
      <c r="J11" s="54"/>
    </row>
    <row r="12" ht="12.75" customHeight="1"/>
    <row r="13" ht="138.75" customHeight="1">
      <c r="A13" s="27" t="s">
        <v>69</v>
      </c>
      <c r="B13" s="4"/>
      <c r="C13" s="4"/>
      <c r="D13" s="4"/>
      <c r="E13" s="4"/>
      <c r="F13" s="4"/>
      <c r="G13" s="4"/>
      <c r="H13" s="4"/>
      <c r="I13" s="4"/>
      <c r="J13" s="5"/>
    </row>
    <row r="14" ht="12.75" customHeight="1"/>
    <row r="15" ht="75.0" customHeight="1">
      <c r="A15" s="27" t="s">
        <v>70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A13:J13"/>
    <mergeCell ref="A15:J15"/>
    <mergeCell ref="D2:H2"/>
    <mergeCell ref="A5:J5"/>
    <mergeCell ref="J9:J10"/>
    <mergeCell ref="B10:B11"/>
    <mergeCell ref="D10:D11"/>
    <mergeCell ref="E10:E11"/>
    <mergeCell ref="F10:F11"/>
  </mergeCells>
  <hyperlinks>
    <hyperlink r:id="rId1" location="searchVariation=MCO19614825&amp;position=2&amp;search_layout=stack&amp;type=product&amp;tracking_id=aa8e5d63-5d99-467d-8939-e0e1b492ed9b" ref="C8"/>
    <hyperlink r:id="rId2" ref="C9"/>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71</v>
      </c>
      <c r="C7" s="44" t="s">
        <v>72</v>
      </c>
      <c r="D7" s="44" t="s">
        <v>73</v>
      </c>
      <c r="E7" s="44" t="s">
        <v>74</v>
      </c>
      <c r="F7" s="45" t="s">
        <v>75</v>
      </c>
      <c r="G7" s="46" t="s">
        <v>76</v>
      </c>
      <c r="H7" s="44" t="s">
        <v>9</v>
      </c>
      <c r="I7" s="44" t="s">
        <v>77</v>
      </c>
      <c r="J7" s="44" t="s">
        <v>78</v>
      </c>
      <c r="K7" s="10"/>
      <c r="L7" s="10"/>
      <c r="M7" s="10"/>
      <c r="N7" s="10"/>
      <c r="O7" s="10"/>
      <c r="P7" s="10"/>
      <c r="Q7" s="10"/>
      <c r="R7" s="10"/>
      <c r="S7" s="10"/>
      <c r="T7" s="10"/>
      <c r="U7" s="10"/>
      <c r="V7" s="10"/>
      <c r="W7" s="10"/>
      <c r="X7" s="10"/>
      <c r="Y7" s="10"/>
      <c r="Z7" s="10"/>
    </row>
    <row r="8" ht="50.25" customHeight="1">
      <c r="A8" s="55" t="s">
        <v>12</v>
      </c>
      <c r="B8" s="33" t="s">
        <v>79</v>
      </c>
      <c r="C8" s="13" t="s">
        <v>80</v>
      </c>
      <c r="D8" s="14" t="s">
        <v>81</v>
      </c>
      <c r="E8" s="56">
        <v>102000.0</v>
      </c>
      <c r="F8" s="57">
        <f t="shared" ref="F8:F10" si="1">E8*1.19</f>
        <v>121380</v>
      </c>
      <c r="G8" s="58">
        <f t="shared" ref="G8:G10" si="2">(E8+F8)/3900</f>
        <v>57.27692308</v>
      </c>
      <c r="H8" s="36">
        <f t="shared" ref="H8:H10" si="3">G8*3900</f>
        <v>223380</v>
      </c>
      <c r="I8" s="33" t="s">
        <v>61</v>
      </c>
      <c r="J8" s="14" t="s">
        <v>82</v>
      </c>
    </row>
    <row r="9" ht="50.25" customHeight="1">
      <c r="A9" s="55" t="s">
        <v>18</v>
      </c>
      <c r="B9" s="33" t="s">
        <v>83</v>
      </c>
      <c r="C9" s="13" t="s">
        <v>84</v>
      </c>
      <c r="D9" s="41" t="s">
        <v>85</v>
      </c>
      <c r="E9" s="56">
        <v>399900.0</v>
      </c>
      <c r="F9" s="57">
        <f t="shared" si="1"/>
        <v>475881</v>
      </c>
      <c r="G9" s="58">
        <f t="shared" si="2"/>
        <v>224.5592308</v>
      </c>
      <c r="H9" s="36">
        <f t="shared" si="3"/>
        <v>875781</v>
      </c>
      <c r="I9" s="33" t="s">
        <v>61</v>
      </c>
      <c r="J9" s="14" t="s">
        <v>82</v>
      </c>
    </row>
    <row r="10" ht="50.25" customHeight="1">
      <c r="A10" s="55" t="s">
        <v>23</v>
      </c>
      <c r="B10" s="33" t="s">
        <v>86</v>
      </c>
      <c r="C10" s="33" t="s">
        <v>87</v>
      </c>
      <c r="D10" s="33" t="s">
        <v>85</v>
      </c>
      <c r="E10" s="57">
        <v>220000.0</v>
      </c>
      <c r="F10" s="57">
        <f t="shared" si="1"/>
        <v>261800</v>
      </c>
      <c r="G10" s="58">
        <f t="shared" si="2"/>
        <v>123.5384615</v>
      </c>
      <c r="H10" s="36">
        <f t="shared" si="3"/>
        <v>481800</v>
      </c>
      <c r="I10" s="33" t="s">
        <v>61</v>
      </c>
      <c r="J10" s="33"/>
    </row>
    <row r="11" ht="15.0" hidden="1" customHeight="1">
      <c r="A11" s="25"/>
      <c r="B11" s="59"/>
      <c r="C11" s="59"/>
      <c r="D11" s="59"/>
      <c r="E11" s="59"/>
      <c r="F11" s="59"/>
      <c r="G11" s="59"/>
      <c r="H11" s="59"/>
      <c r="I11" s="59"/>
      <c r="J11" s="59"/>
    </row>
    <row r="12" ht="12.75" customHeight="1"/>
    <row r="13" ht="138.75" customHeight="1">
      <c r="A13" s="27" t="s">
        <v>88</v>
      </c>
      <c r="B13" s="4"/>
      <c r="C13" s="4"/>
      <c r="D13" s="4"/>
      <c r="E13" s="4"/>
      <c r="F13" s="4"/>
      <c r="G13" s="4"/>
      <c r="H13" s="4"/>
      <c r="I13" s="4"/>
      <c r="J13" s="5"/>
    </row>
    <row r="14" ht="12.75" customHeight="1"/>
    <row r="15" ht="75.0" customHeight="1">
      <c r="A15" s="27" t="s">
        <v>89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searchVariation=MCO19035706&amp;position=7&amp;search_layout=stack&amp;type=product&amp;tracking_id=d2347602-d832-46e2-b62a-c4c325617137" ref="C8"/>
    <hyperlink r:id="rId2" ref="C9"/>
  </hyperlinks>
  <printOptions/>
  <pageMargins bottom="0.75" footer="0.0" header="0.0" left="0.7" right="0.7" top="0.75"/>
  <pageSetup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90</v>
      </c>
      <c r="C7" s="44" t="s">
        <v>91</v>
      </c>
      <c r="D7" s="44" t="s">
        <v>92</v>
      </c>
      <c r="E7" s="44" t="s">
        <v>93</v>
      </c>
      <c r="F7" s="45" t="s">
        <v>94</v>
      </c>
      <c r="G7" s="60" t="s">
        <v>95</v>
      </c>
      <c r="H7" s="44" t="s">
        <v>9</v>
      </c>
      <c r="I7" s="44" t="s">
        <v>96</v>
      </c>
      <c r="J7" s="44" t="s">
        <v>97</v>
      </c>
      <c r="K7" s="10"/>
      <c r="L7" s="10"/>
      <c r="M7" s="10"/>
      <c r="N7" s="10"/>
      <c r="O7" s="10"/>
      <c r="P7" s="10"/>
      <c r="Q7" s="10"/>
      <c r="R7" s="10"/>
      <c r="S7" s="10"/>
      <c r="T7" s="10"/>
      <c r="U7" s="10"/>
      <c r="V7" s="10"/>
      <c r="W7" s="10"/>
      <c r="X7" s="10"/>
      <c r="Y7" s="10"/>
      <c r="Z7" s="10"/>
    </row>
    <row r="8" ht="50.25" customHeight="1">
      <c r="A8" s="55" t="s">
        <v>12</v>
      </c>
      <c r="B8" s="33" t="s">
        <v>98</v>
      </c>
      <c r="C8" s="13" t="s">
        <v>99</v>
      </c>
      <c r="D8" s="33" t="s">
        <v>100</v>
      </c>
      <c r="E8" s="57">
        <v>8400000.0</v>
      </c>
      <c r="F8" s="57">
        <f t="shared" ref="F8:F10" si="1">E8*1.19</f>
        <v>9996000</v>
      </c>
      <c r="G8" s="35">
        <f t="shared" ref="G8:G10" si="2">(F8+E8)/3900</f>
        <v>4716.923077</v>
      </c>
      <c r="H8" s="36">
        <f t="shared" ref="H8:H10" si="3">G8*3900</f>
        <v>18396000</v>
      </c>
      <c r="I8" s="33" t="s">
        <v>61</v>
      </c>
      <c r="J8" s="61" t="s">
        <v>101</v>
      </c>
    </row>
    <row r="9" ht="50.25" customHeight="1">
      <c r="A9" s="55" t="s">
        <v>18</v>
      </c>
      <c r="B9" s="48" t="s">
        <v>13</v>
      </c>
      <c r="C9" s="13" t="s">
        <v>102</v>
      </c>
      <c r="D9" s="14" t="s">
        <v>103</v>
      </c>
      <c r="E9" s="56">
        <v>1199999.0</v>
      </c>
      <c r="F9" s="57">
        <f t="shared" si="1"/>
        <v>1427998.81</v>
      </c>
      <c r="G9" s="35">
        <f t="shared" si="2"/>
        <v>673.8455923</v>
      </c>
      <c r="H9" s="36">
        <f t="shared" si="3"/>
        <v>2627997.81</v>
      </c>
      <c r="I9" s="33" t="s">
        <v>61</v>
      </c>
      <c r="J9" s="14" t="s">
        <v>104</v>
      </c>
    </row>
    <row r="10" ht="50.25" customHeight="1">
      <c r="A10" s="55" t="s">
        <v>23</v>
      </c>
      <c r="B10" s="33" t="s">
        <v>13</v>
      </c>
      <c r="C10" s="13" t="s">
        <v>102</v>
      </c>
      <c r="D10" s="14" t="s">
        <v>105</v>
      </c>
      <c r="E10" s="56">
        <v>1199999.0</v>
      </c>
      <c r="F10" s="57">
        <f t="shared" si="1"/>
        <v>1427998.81</v>
      </c>
      <c r="G10" s="35">
        <f t="shared" si="2"/>
        <v>673.8455923</v>
      </c>
      <c r="H10" s="36">
        <f t="shared" si="3"/>
        <v>2627997.81</v>
      </c>
      <c r="I10" s="33" t="s">
        <v>61</v>
      </c>
      <c r="J10" s="33"/>
    </row>
    <row r="11" ht="15.0" hidden="1" customHeight="1">
      <c r="A11" s="25"/>
      <c r="B11" s="59"/>
      <c r="C11" s="59"/>
      <c r="D11" s="59"/>
      <c r="E11" s="59"/>
      <c r="F11" s="59"/>
      <c r="G11" s="59"/>
      <c r="H11" s="59"/>
      <c r="I11" s="59"/>
      <c r="J11" s="59"/>
    </row>
    <row r="12" ht="12.75" customHeight="1"/>
    <row r="13" ht="138.75" customHeight="1">
      <c r="A13" s="27" t="s">
        <v>106</v>
      </c>
      <c r="B13" s="4"/>
      <c r="C13" s="4"/>
      <c r="D13" s="4"/>
      <c r="E13" s="4"/>
      <c r="F13" s="4"/>
      <c r="G13" s="4"/>
      <c r="H13" s="4"/>
      <c r="I13" s="4"/>
      <c r="J13" s="5"/>
    </row>
    <row r="14" ht="12.75" customHeight="1"/>
    <row r="15" ht="75.0" customHeight="1">
      <c r="A15" s="27" t="s">
        <v>107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position=8&amp;search_layout=stack&amp;type=item&amp;tracking_id=6ce23d24-4588-4653-bb99-db7e1509e5aa" ref="C8"/>
    <hyperlink r:id="rId2" location="position=4&amp;search_layout=stack&amp;type=item&amp;tracking_id=aa17d476-2270-48e4-afc3-371dfada513d" ref="C9"/>
    <hyperlink r:id="rId3" location="position=4&amp;search_layout=stack&amp;type=item&amp;tracking_id=aa17d476-2270-48e4-afc3-371dfada513d"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108</v>
      </c>
      <c r="C7" s="44" t="s">
        <v>109</v>
      </c>
      <c r="D7" s="44" t="s">
        <v>110</v>
      </c>
      <c r="E7" s="44" t="s">
        <v>111</v>
      </c>
      <c r="F7" s="45" t="s">
        <v>112</v>
      </c>
      <c r="G7" s="46" t="s">
        <v>113</v>
      </c>
      <c r="H7" s="44" t="s">
        <v>9</v>
      </c>
      <c r="I7" s="44" t="s">
        <v>114</v>
      </c>
      <c r="J7" s="44" t="s">
        <v>115</v>
      </c>
      <c r="K7" s="10"/>
      <c r="L7" s="10"/>
      <c r="M7" s="10"/>
      <c r="N7" s="10"/>
      <c r="O7" s="10"/>
      <c r="P7" s="10"/>
      <c r="Q7" s="10"/>
      <c r="R7" s="10"/>
      <c r="S7" s="10"/>
      <c r="T7" s="10"/>
      <c r="U7" s="10"/>
      <c r="V7" s="10"/>
      <c r="W7" s="10"/>
      <c r="X7" s="10"/>
      <c r="Y7" s="10"/>
      <c r="Z7" s="10"/>
    </row>
    <row r="8" ht="50.25" customHeight="1">
      <c r="A8" s="55" t="s">
        <v>12</v>
      </c>
      <c r="B8" s="33" t="s">
        <v>116</v>
      </c>
      <c r="C8" s="13" t="s">
        <v>117</v>
      </c>
      <c r="D8" s="48" t="s">
        <v>118</v>
      </c>
      <c r="E8" s="57">
        <v>399000.0</v>
      </c>
      <c r="F8" s="57">
        <f t="shared" ref="F8:F10" si="1">E8*1.19</f>
        <v>474810</v>
      </c>
      <c r="G8" s="35">
        <f t="shared" ref="G8:G10" si="2">(F8+E8)/3900</f>
        <v>224.0538462</v>
      </c>
      <c r="H8" s="36">
        <f t="shared" ref="H8:H10" si="3">G8*3900</f>
        <v>873810</v>
      </c>
      <c r="I8" s="33" t="s">
        <v>16</v>
      </c>
      <c r="J8" s="14" t="s">
        <v>119</v>
      </c>
    </row>
    <row r="9" ht="50.25" customHeight="1">
      <c r="A9" s="55" t="s">
        <v>18</v>
      </c>
      <c r="B9" s="48" t="s">
        <v>120</v>
      </c>
      <c r="C9" s="13" t="s">
        <v>121</v>
      </c>
      <c r="D9" s="14" t="s">
        <v>122</v>
      </c>
      <c r="E9" s="56">
        <v>180039.0</v>
      </c>
      <c r="F9" s="57">
        <f t="shared" si="1"/>
        <v>214246.41</v>
      </c>
      <c r="G9" s="35">
        <f t="shared" si="2"/>
        <v>101.0988231</v>
      </c>
      <c r="H9" s="36">
        <f t="shared" si="3"/>
        <v>394285.41</v>
      </c>
      <c r="I9" s="33" t="s">
        <v>16</v>
      </c>
      <c r="J9" s="14" t="s">
        <v>123</v>
      </c>
    </row>
    <row r="10" ht="50.25" customHeight="1">
      <c r="A10" s="55" t="s">
        <v>23</v>
      </c>
      <c r="B10" s="33" t="s">
        <v>124</v>
      </c>
      <c r="C10" s="13" t="s">
        <v>125</v>
      </c>
      <c r="D10" s="62" t="s">
        <v>126</v>
      </c>
      <c r="E10" s="56">
        <v>99000.0</v>
      </c>
      <c r="F10" s="57">
        <f t="shared" si="1"/>
        <v>117810</v>
      </c>
      <c r="G10" s="35">
        <f t="shared" si="2"/>
        <v>55.59230769</v>
      </c>
      <c r="H10" s="36">
        <f t="shared" si="3"/>
        <v>216810</v>
      </c>
      <c r="I10" s="33" t="s">
        <v>16</v>
      </c>
      <c r="J10" s="63" t="s">
        <v>127</v>
      </c>
    </row>
    <row r="11" ht="15.0" hidden="1" customHeight="1">
      <c r="A11" s="25"/>
      <c r="B11" s="59"/>
      <c r="C11" s="59"/>
      <c r="D11" s="59"/>
      <c r="E11" s="59"/>
      <c r="F11" s="59"/>
      <c r="G11" s="59"/>
      <c r="H11" s="59"/>
      <c r="I11" s="59"/>
      <c r="J11" s="59"/>
    </row>
    <row r="12" ht="12.75" customHeight="1"/>
    <row r="13" ht="138.75" customHeight="1">
      <c r="A13" s="27" t="s">
        <v>128</v>
      </c>
      <c r="B13" s="4"/>
      <c r="C13" s="4"/>
      <c r="D13" s="4"/>
      <c r="E13" s="4"/>
      <c r="F13" s="4"/>
      <c r="G13" s="4"/>
      <c r="H13" s="4"/>
      <c r="I13" s="4"/>
      <c r="J13" s="5"/>
    </row>
    <row r="14" ht="12.75" customHeight="1"/>
    <row r="15" ht="75.0" customHeight="1">
      <c r="A15" s="27" t="s">
        <v>129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64">
        <v>0.0</v>
      </c>
      <c r="B5" s="4"/>
      <c r="C5" s="4"/>
      <c r="D5" s="4"/>
      <c r="E5" s="4"/>
      <c r="F5" s="4"/>
      <c r="G5" s="4"/>
      <c r="H5" s="4"/>
      <c r="I5" s="4"/>
      <c r="J5" s="5"/>
    </row>
    <row r="6" ht="15.75" customHeight="1"/>
    <row r="7" ht="75.75" customHeight="1">
      <c r="A7" s="6" t="s">
        <v>2</v>
      </c>
      <c r="B7" s="44" t="s">
        <v>130</v>
      </c>
      <c r="C7" s="44" t="s">
        <v>131</v>
      </c>
      <c r="D7" s="44" t="s">
        <v>132</v>
      </c>
      <c r="E7" s="44" t="s">
        <v>133</v>
      </c>
      <c r="F7" s="45" t="s">
        <v>134</v>
      </c>
      <c r="G7" s="46" t="s">
        <v>135</v>
      </c>
      <c r="H7" s="44" t="s">
        <v>9</v>
      </c>
      <c r="I7" s="44" t="s">
        <v>136</v>
      </c>
      <c r="J7" s="44" t="s">
        <v>137</v>
      </c>
      <c r="K7" s="10"/>
      <c r="L7" s="10"/>
      <c r="M7" s="10"/>
      <c r="N7" s="10"/>
      <c r="O7" s="10"/>
      <c r="P7" s="10"/>
      <c r="Q7" s="10"/>
      <c r="R7" s="10"/>
      <c r="S7" s="10"/>
      <c r="T7" s="10"/>
      <c r="U7" s="10"/>
      <c r="V7" s="10"/>
      <c r="W7" s="10"/>
      <c r="X7" s="10"/>
      <c r="Y7" s="10"/>
      <c r="Z7" s="10"/>
    </row>
    <row r="8" ht="50.25" customHeight="1">
      <c r="A8" s="55" t="s">
        <v>12</v>
      </c>
      <c r="B8" s="33" t="s">
        <v>63</v>
      </c>
      <c r="C8" s="13" t="s">
        <v>138</v>
      </c>
      <c r="D8" s="49" t="s">
        <v>139</v>
      </c>
      <c r="E8" s="65">
        <v>84888.0</v>
      </c>
      <c r="F8" s="57">
        <f t="shared" ref="F8:F10" si="1">E8*1.19</f>
        <v>101016.72</v>
      </c>
      <c r="G8" s="35">
        <f t="shared" ref="G8:G10" si="2">(E8+F8)/3900</f>
        <v>47.66787692</v>
      </c>
      <c r="H8" s="36">
        <f t="shared" ref="H8:H10" si="3">G8*3900</f>
        <v>185904.72</v>
      </c>
      <c r="I8" s="33" t="s">
        <v>16</v>
      </c>
      <c r="J8" s="66" t="s">
        <v>140</v>
      </c>
    </row>
    <row r="9" ht="50.25" customHeight="1">
      <c r="A9" s="55" t="s">
        <v>18</v>
      </c>
      <c r="B9" s="48" t="s">
        <v>141</v>
      </c>
      <c r="C9" s="13" t="s">
        <v>142</v>
      </c>
      <c r="D9" s="41" t="s">
        <v>143</v>
      </c>
      <c r="E9" s="67">
        <v>59900.0</v>
      </c>
      <c r="F9" s="57">
        <f t="shared" si="1"/>
        <v>71281</v>
      </c>
      <c r="G9" s="35">
        <f t="shared" si="2"/>
        <v>33.63615385</v>
      </c>
      <c r="H9" s="36">
        <f t="shared" si="3"/>
        <v>131181</v>
      </c>
      <c r="I9" s="33" t="s">
        <v>16</v>
      </c>
      <c r="J9" s="40" t="s">
        <v>144</v>
      </c>
    </row>
    <row r="10" ht="50.25" customHeight="1">
      <c r="A10" s="55" t="s">
        <v>23</v>
      </c>
      <c r="B10" s="51" t="s">
        <v>145</v>
      </c>
      <c r="C10" s="33" t="s">
        <v>146</v>
      </c>
      <c r="D10" s="51" t="s">
        <v>143</v>
      </c>
      <c r="E10" s="68">
        <v>549900.0</v>
      </c>
      <c r="F10" s="68">
        <f t="shared" si="1"/>
        <v>654381</v>
      </c>
      <c r="G10" s="35">
        <f t="shared" si="2"/>
        <v>308.79</v>
      </c>
      <c r="H10" s="36">
        <f t="shared" si="3"/>
        <v>1204281</v>
      </c>
      <c r="I10" s="33" t="s">
        <v>16</v>
      </c>
      <c r="J10" s="69"/>
    </row>
    <row r="11" ht="15.0" hidden="1" customHeight="1">
      <c r="A11" s="70"/>
      <c r="B11" s="53"/>
      <c r="C11" s="33" t="s">
        <v>147</v>
      </c>
      <c r="D11" s="53"/>
      <c r="E11" s="53"/>
      <c r="F11" s="53"/>
      <c r="G11" s="54"/>
      <c r="H11" s="54"/>
      <c r="I11" s="54"/>
      <c r="J11" s="54"/>
    </row>
    <row r="12" ht="12.75" customHeight="1"/>
    <row r="13" ht="138.75" customHeight="1">
      <c r="A13" s="27" t="s">
        <v>148</v>
      </c>
      <c r="B13" s="4"/>
      <c r="C13" s="4"/>
      <c r="D13" s="4"/>
      <c r="E13" s="4"/>
      <c r="F13" s="4"/>
      <c r="G13" s="4"/>
      <c r="H13" s="4"/>
      <c r="I13" s="4"/>
      <c r="J13" s="5"/>
    </row>
    <row r="14" ht="12.75" customHeight="1"/>
    <row r="15" ht="75.0" customHeight="1">
      <c r="A15" s="27" t="s">
        <v>149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B10:B11"/>
    <mergeCell ref="D10:D11"/>
    <mergeCell ref="E10:E11"/>
    <mergeCell ref="F10:F11"/>
    <mergeCell ref="A13:J13"/>
    <mergeCell ref="A15:J15"/>
  </mergeCells>
  <hyperlinks>
    <hyperlink r:id="rId1" ref="C8"/>
    <hyperlink r:id="rId2" ref="C9"/>
  </hyperlinks>
  <printOptions/>
  <pageMargins bottom="0.75" footer="0.0" header="0.0" left="0.7" right="0.7" top="0.75"/>
  <pageSetup orientation="landscape"/>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150</v>
      </c>
      <c r="C7" s="44" t="s">
        <v>151</v>
      </c>
      <c r="D7" s="44" t="s">
        <v>152</v>
      </c>
      <c r="E7" s="44" t="s">
        <v>153</v>
      </c>
      <c r="F7" s="45" t="s">
        <v>154</v>
      </c>
      <c r="G7" s="46" t="s">
        <v>155</v>
      </c>
      <c r="H7" s="44" t="s">
        <v>9</v>
      </c>
      <c r="I7" s="44" t="s">
        <v>156</v>
      </c>
      <c r="J7" s="44" t="s">
        <v>157</v>
      </c>
      <c r="K7" s="10"/>
      <c r="L7" s="10"/>
      <c r="M7" s="10"/>
      <c r="N7" s="10"/>
      <c r="O7" s="10"/>
      <c r="P7" s="10"/>
      <c r="Q7" s="10"/>
      <c r="R7" s="10"/>
      <c r="S7" s="10"/>
      <c r="T7" s="10"/>
      <c r="U7" s="10"/>
      <c r="V7" s="10"/>
      <c r="W7" s="10"/>
      <c r="X7" s="10"/>
      <c r="Y7" s="10"/>
      <c r="Z7" s="10"/>
    </row>
    <row r="8" ht="50.25" customHeight="1">
      <c r="A8" s="55" t="s">
        <v>12</v>
      </c>
      <c r="B8" s="33" t="s">
        <v>13</v>
      </c>
      <c r="C8" s="13" t="s">
        <v>158</v>
      </c>
      <c r="D8" s="71" t="s">
        <v>159</v>
      </c>
      <c r="E8" s="56">
        <v>29640.0</v>
      </c>
      <c r="F8" s="57">
        <f t="shared" ref="F8:F10" si="1">E8*1.19</f>
        <v>35271.6</v>
      </c>
      <c r="G8" s="35">
        <f t="shared" ref="G8:G10" si="2">(E8+F8)/3900</f>
        <v>16.644</v>
      </c>
      <c r="H8" s="72">
        <f t="shared" ref="H8:H10" si="3">G8*3900</f>
        <v>64911.6</v>
      </c>
      <c r="I8" s="73" t="s">
        <v>61</v>
      </c>
      <c r="J8" s="74" t="s">
        <v>160</v>
      </c>
    </row>
    <row r="9" ht="50.25" customHeight="1">
      <c r="A9" s="55" t="s">
        <v>18</v>
      </c>
      <c r="B9" s="48" t="s">
        <v>161</v>
      </c>
      <c r="C9" s="13" t="s">
        <v>162</v>
      </c>
      <c r="D9" s="33" t="s">
        <v>163</v>
      </c>
      <c r="E9" s="57">
        <v>27000.0</v>
      </c>
      <c r="F9" s="57">
        <f t="shared" si="1"/>
        <v>32130</v>
      </c>
      <c r="G9" s="35">
        <f t="shared" si="2"/>
        <v>15.16153846</v>
      </c>
      <c r="H9" s="72">
        <f t="shared" si="3"/>
        <v>59130</v>
      </c>
      <c r="I9" s="73" t="s">
        <v>61</v>
      </c>
      <c r="J9" s="75" t="s">
        <v>164</v>
      </c>
    </row>
    <row r="10" ht="50.25" customHeight="1">
      <c r="A10" s="55" t="s">
        <v>23</v>
      </c>
      <c r="B10" s="33" t="s">
        <v>165</v>
      </c>
      <c r="C10" s="13" t="s">
        <v>166</v>
      </c>
      <c r="D10" s="33" t="s">
        <v>167</v>
      </c>
      <c r="E10" s="56">
        <v>145900.0</v>
      </c>
      <c r="F10" s="57">
        <f t="shared" si="1"/>
        <v>173621</v>
      </c>
      <c r="G10" s="35">
        <f t="shared" si="2"/>
        <v>81.92846154</v>
      </c>
      <c r="H10" s="72">
        <f t="shared" si="3"/>
        <v>319521</v>
      </c>
      <c r="I10" s="73" t="s">
        <v>61</v>
      </c>
      <c r="J10" s="76" t="s">
        <v>168</v>
      </c>
    </row>
    <row r="11" ht="15.0" hidden="1" customHeight="1">
      <c r="A11" s="25"/>
      <c r="B11" s="59"/>
      <c r="C11" s="59"/>
      <c r="D11" s="59"/>
      <c r="E11" s="59"/>
      <c r="F11" s="59"/>
      <c r="G11" s="59"/>
      <c r="H11" s="59"/>
      <c r="I11" s="77" t="s">
        <v>61</v>
      </c>
      <c r="J11" s="59"/>
    </row>
    <row r="12" ht="12.75" customHeight="1"/>
    <row r="13" ht="138.75" customHeight="1">
      <c r="A13" s="27" t="s">
        <v>169</v>
      </c>
      <c r="B13" s="4"/>
      <c r="C13" s="4"/>
      <c r="D13" s="4"/>
      <c r="E13" s="4"/>
      <c r="F13" s="4"/>
      <c r="G13" s="4"/>
      <c r="H13" s="4"/>
      <c r="I13" s="4"/>
      <c r="J13" s="5"/>
    </row>
    <row r="14" ht="12.75" customHeight="1"/>
    <row r="15" ht="75.0" customHeight="1">
      <c r="A15" s="27" t="s">
        <v>170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is_advertising=true&amp;searchVariation=MCO16051104&amp;position=1&amp;search_layout=stack&amp;type=pad&amp;tracking_id=ced31c77-b65c-4671-a8f1-61f3edab0f16&amp;is_advertising=true&amp;ad_domain=VQCATCORE_LST&amp;ad_position=1&amp;ad_click_id=MWZjOWY3ZTgtZjgwNS00MmEzLTk2M2ItNGJiMDNhMjg1NDIy" ref="C8"/>
    <hyperlink r:id="rId2"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D1" s="2"/>
    </row>
    <row r="2" ht="27.75" customHeight="1">
      <c r="D2" s="77" t="s">
        <v>0</v>
      </c>
    </row>
    <row r="3" ht="12.75" customHeight="1"/>
    <row r="4" ht="12.75" customHeight="1">
      <c r="A4" s="3"/>
      <c r="B4" s="4"/>
      <c r="C4" s="4"/>
      <c r="D4" s="4"/>
      <c r="E4" s="4"/>
      <c r="F4" s="4"/>
      <c r="G4" s="4"/>
      <c r="H4" s="4"/>
      <c r="I4" s="4"/>
      <c r="J4" s="5"/>
    </row>
    <row r="5" ht="43.5" customHeight="1">
      <c r="A5" s="77" t="s">
        <v>1</v>
      </c>
    </row>
    <row r="6" ht="15.75" customHeight="1">
      <c r="A6" s="6"/>
      <c r="B6" s="44"/>
      <c r="C6" s="44"/>
      <c r="D6" s="44"/>
      <c r="E6" s="44"/>
      <c r="F6" s="45"/>
      <c r="G6" s="46"/>
      <c r="H6" s="44"/>
      <c r="I6" s="44"/>
      <c r="J6" s="44"/>
    </row>
    <row r="7" ht="75.75" customHeight="1">
      <c r="A7" s="55" t="s">
        <v>2</v>
      </c>
      <c r="B7" s="33" t="s">
        <v>171</v>
      </c>
      <c r="C7" s="78" t="s">
        <v>172</v>
      </c>
      <c r="D7" s="14" t="s">
        <v>173</v>
      </c>
      <c r="E7" s="56" t="s">
        <v>174</v>
      </c>
      <c r="F7" s="56" t="s">
        <v>175</v>
      </c>
      <c r="G7" s="35" t="s">
        <v>176</v>
      </c>
      <c r="H7" s="36" t="s">
        <v>9</v>
      </c>
      <c r="I7" s="33" t="s">
        <v>177</v>
      </c>
      <c r="J7" s="61" t="s">
        <v>178</v>
      </c>
      <c r="K7" s="10"/>
      <c r="L7" s="10"/>
      <c r="M7" s="10"/>
      <c r="N7" s="10"/>
      <c r="O7" s="10"/>
      <c r="P7" s="10"/>
      <c r="Q7" s="10"/>
      <c r="R7" s="10"/>
      <c r="S7" s="10"/>
      <c r="T7" s="10"/>
      <c r="U7" s="10"/>
      <c r="V7" s="10"/>
      <c r="W7" s="10"/>
      <c r="X7" s="10"/>
      <c r="Y7" s="10"/>
      <c r="Z7" s="10"/>
    </row>
    <row r="8" ht="50.25" customHeight="1">
      <c r="A8" s="55" t="s">
        <v>12</v>
      </c>
      <c r="B8" s="48" t="s">
        <v>13</v>
      </c>
      <c r="C8" s="13" t="s">
        <v>179</v>
      </c>
      <c r="D8" s="41" t="s">
        <v>180</v>
      </c>
      <c r="E8" s="57">
        <v>2129890.0</v>
      </c>
      <c r="F8" s="56">
        <f t="shared" ref="F8:F10" si="1">E8*1.19</f>
        <v>2534569.1</v>
      </c>
      <c r="G8" s="35">
        <f t="shared" ref="G8:G10" si="2">(E8+F8)/3900</f>
        <v>1196.015154</v>
      </c>
      <c r="H8" s="36">
        <f t="shared" ref="H8:H10" si="3">G8*3900</f>
        <v>4664459.1</v>
      </c>
      <c r="I8" s="33" t="s">
        <v>61</v>
      </c>
      <c r="J8" s="79" t="s">
        <v>181</v>
      </c>
    </row>
    <row r="9" ht="50.25" customHeight="1">
      <c r="A9" s="55" t="s">
        <v>18</v>
      </c>
      <c r="B9" s="33" t="s">
        <v>42</v>
      </c>
      <c r="C9" s="13" t="s">
        <v>182</v>
      </c>
      <c r="D9" s="41" t="s">
        <v>183</v>
      </c>
      <c r="E9" s="56">
        <v>1849000.0</v>
      </c>
      <c r="F9" s="56">
        <f t="shared" si="1"/>
        <v>2200310</v>
      </c>
      <c r="G9" s="35">
        <f t="shared" si="2"/>
        <v>1038.284615</v>
      </c>
      <c r="H9" s="36">
        <f t="shared" si="3"/>
        <v>4049310</v>
      </c>
      <c r="I9" s="33" t="s">
        <v>61</v>
      </c>
      <c r="J9" s="79" t="s">
        <v>184</v>
      </c>
    </row>
    <row r="10" ht="50.25" customHeight="1">
      <c r="A10" s="55" t="s">
        <v>23</v>
      </c>
      <c r="B10" s="33" t="s">
        <v>83</v>
      </c>
      <c r="C10" s="13" t="s">
        <v>185</v>
      </c>
      <c r="D10" s="41" t="s">
        <v>186</v>
      </c>
      <c r="E10" s="56">
        <v>2249000.0</v>
      </c>
      <c r="F10" s="56">
        <f t="shared" si="1"/>
        <v>2676310</v>
      </c>
      <c r="G10" s="35">
        <f t="shared" si="2"/>
        <v>1262.9</v>
      </c>
      <c r="H10" s="36">
        <f t="shared" si="3"/>
        <v>4925310</v>
      </c>
      <c r="I10" s="33" t="s">
        <v>61</v>
      </c>
      <c r="J10" s="79" t="s">
        <v>187</v>
      </c>
    </row>
    <row r="11" ht="15.0" hidden="1" customHeight="1">
      <c r="A11" s="25"/>
      <c r="B11" s="59"/>
      <c r="C11" s="59"/>
      <c r="D11" s="59"/>
      <c r="E11" s="59"/>
      <c r="F11" s="59"/>
      <c r="G11" s="59"/>
      <c r="H11" s="59"/>
      <c r="I11" s="59"/>
      <c r="J11" s="59"/>
    </row>
    <row r="12" ht="12.75" customHeight="1"/>
    <row r="13" ht="138.75" customHeight="1">
      <c r="A13" s="27" t="s">
        <v>188</v>
      </c>
      <c r="B13" s="4"/>
      <c r="C13" s="4"/>
      <c r="D13" s="4"/>
      <c r="E13" s="4"/>
      <c r="F13" s="4"/>
      <c r="G13" s="4"/>
      <c r="H13" s="4"/>
      <c r="I13" s="4"/>
      <c r="J13" s="5"/>
    </row>
    <row r="14" ht="12.75" customHeight="1"/>
    <row r="15" ht="75.0" customHeight="1">
      <c r="A15" s="27" t="s">
        <v>189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13:J13"/>
    <mergeCell ref="A15:J15"/>
    <mergeCell ref="D1:H1"/>
    <mergeCell ref="A4:J4"/>
  </mergeCells>
  <hyperlinks>
    <hyperlink r:id="rId1" ref="C8"/>
    <hyperlink r:id="rId2" ref="C9"/>
    <hyperlink r:id="rId3"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190</v>
      </c>
      <c r="C7" s="44" t="s">
        <v>191</v>
      </c>
      <c r="D7" s="44" t="s">
        <v>192</v>
      </c>
      <c r="E7" s="44" t="s">
        <v>193</v>
      </c>
      <c r="F7" s="45" t="s">
        <v>194</v>
      </c>
      <c r="G7" s="46" t="s">
        <v>195</v>
      </c>
      <c r="H7" s="44" t="s">
        <v>9</v>
      </c>
      <c r="I7" s="44" t="s">
        <v>196</v>
      </c>
      <c r="J7" s="44" t="s">
        <v>197</v>
      </c>
      <c r="K7" s="10"/>
      <c r="L7" s="10"/>
      <c r="M7" s="10"/>
      <c r="N7" s="10"/>
      <c r="O7" s="10"/>
      <c r="P7" s="10"/>
      <c r="Q7" s="10"/>
      <c r="R7" s="10"/>
      <c r="S7" s="10"/>
      <c r="T7" s="10"/>
      <c r="U7" s="10"/>
      <c r="V7" s="10"/>
      <c r="W7" s="10"/>
      <c r="X7" s="10"/>
      <c r="Y7" s="10"/>
      <c r="Z7" s="10"/>
    </row>
    <row r="8" ht="50.25" customHeight="1">
      <c r="A8" s="55" t="s">
        <v>12</v>
      </c>
      <c r="B8" s="33" t="s">
        <v>42</v>
      </c>
      <c r="C8" s="13" t="s">
        <v>198</v>
      </c>
      <c r="D8" s="41" t="s">
        <v>199</v>
      </c>
      <c r="E8" s="56">
        <v>1099900.0</v>
      </c>
      <c r="F8" s="56">
        <f t="shared" ref="F8:F10" si="1">E8*1.19</f>
        <v>1308881</v>
      </c>
      <c r="G8" s="35">
        <f t="shared" ref="G8:G10" si="2">(F8+E8)/3900</f>
        <v>617.6361538</v>
      </c>
      <c r="H8" s="36">
        <f t="shared" ref="H8:H10" si="3">G8*3900</f>
        <v>2408781</v>
      </c>
      <c r="I8" s="33" t="s">
        <v>16</v>
      </c>
      <c r="J8" s="79" t="s">
        <v>200</v>
      </c>
    </row>
    <row r="9" ht="50.25" customHeight="1">
      <c r="A9" s="55" t="s">
        <v>18</v>
      </c>
      <c r="B9" s="33" t="s">
        <v>63</v>
      </c>
      <c r="C9" s="38" t="s">
        <v>201</v>
      </c>
      <c r="D9" s="49" t="s">
        <v>202</v>
      </c>
      <c r="E9" s="57">
        <v>1313900.0</v>
      </c>
      <c r="F9" s="56">
        <f t="shared" si="1"/>
        <v>1563541</v>
      </c>
      <c r="G9" s="35">
        <f t="shared" si="2"/>
        <v>737.8053846</v>
      </c>
      <c r="H9" s="36">
        <f t="shared" si="3"/>
        <v>2877441</v>
      </c>
      <c r="I9" s="33" t="s">
        <v>16</v>
      </c>
      <c r="J9" s="49" t="s">
        <v>203</v>
      </c>
    </row>
    <row r="10" ht="50.25" customHeight="1">
      <c r="A10" s="55" t="s">
        <v>23</v>
      </c>
      <c r="B10" s="33" t="s">
        <v>13</v>
      </c>
      <c r="C10" s="13" t="s">
        <v>204</v>
      </c>
      <c r="D10" s="14" t="s">
        <v>205</v>
      </c>
      <c r="E10" s="56">
        <v>1507783.0</v>
      </c>
      <c r="F10" s="56">
        <f t="shared" si="1"/>
        <v>1794261.77</v>
      </c>
      <c r="G10" s="35">
        <f t="shared" si="2"/>
        <v>846.6781462</v>
      </c>
      <c r="H10" s="36">
        <f t="shared" si="3"/>
        <v>3302044.77</v>
      </c>
      <c r="I10" s="33" t="s">
        <v>16</v>
      </c>
      <c r="J10" s="49" t="s">
        <v>206</v>
      </c>
    </row>
    <row r="11" ht="15.0" hidden="1" customHeight="1">
      <c r="A11" s="25"/>
      <c r="B11" s="59"/>
      <c r="C11" s="59"/>
      <c r="D11" s="59"/>
      <c r="E11" s="59"/>
      <c r="F11" s="59"/>
      <c r="G11" s="59"/>
      <c r="H11" s="59"/>
      <c r="I11" s="59"/>
      <c r="J11" s="59"/>
    </row>
    <row r="12" ht="12.75" customHeight="1"/>
    <row r="13" ht="138.75" customHeight="1">
      <c r="A13" s="27" t="s">
        <v>207</v>
      </c>
      <c r="B13" s="4"/>
      <c r="C13" s="4"/>
      <c r="D13" s="4"/>
      <c r="E13" s="4"/>
      <c r="F13" s="4"/>
      <c r="G13" s="4"/>
      <c r="H13" s="4"/>
      <c r="I13" s="4"/>
      <c r="J13" s="5"/>
    </row>
    <row r="14" ht="12.75" customHeight="1"/>
    <row r="15" ht="75.0" customHeight="1">
      <c r="A15" s="27" t="s">
        <v>208</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location="is_advertising=true&amp;searchVariation=MCO24122328&amp;position=10&amp;search_layout=stack&amp;type=pad&amp;tracking_id=7415b802-551f-4627-8fe6-d6c65a3e40c2&amp;is_advertising=true&amp;ad_domain=VQCATCORE_LST&amp;ad_position=10&amp;ad_click_id=ODk2ZGUwZDQtYTZlMS00YjZkLWJkNmUtYjc0N2NkYWY4OTdl" ref="C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t="s">
        <v>209</v>
      </c>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210</v>
      </c>
      <c r="C7" s="44" t="s">
        <v>211</v>
      </c>
      <c r="D7" s="44" t="s">
        <v>212</v>
      </c>
      <c r="E7" s="44" t="s">
        <v>213</v>
      </c>
      <c r="F7" s="45" t="s">
        <v>214</v>
      </c>
      <c r="G7" s="46" t="s">
        <v>215</v>
      </c>
      <c r="H7" s="44" t="s">
        <v>9</v>
      </c>
      <c r="I7" s="44" t="s">
        <v>216</v>
      </c>
      <c r="J7" s="44" t="s">
        <v>217</v>
      </c>
      <c r="K7" s="10"/>
      <c r="L7" s="10"/>
      <c r="M7" s="10"/>
      <c r="N7" s="10"/>
      <c r="O7" s="10"/>
      <c r="P7" s="10"/>
      <c r="Q7" s="10"/>
      <c r="R7" s="10"/>
      <c r="S7" s="10"/>
      <c r="T7" s="10"/>
      <c r="U7" s="10"/>
      <c r="V7" s="10"/>
      <c r="W7" s="10"/>
      <c r="X7" s="10"/>
      <c r="Y7" s="10"/>
      <c r="Z7" s="10"/>
    </row>
    <row r="8" ht="50.25" customHeight="1">
      <c r="A8" s="55" t="s">
        <v>12</v>
      </c>
      <c r="B8" s="80" t="s">
        <v>13</v>
      </c>
      <c r="C8" s="81" t="s">
        <v>218</v>
      </c>
      <c r="D8" s="82" t="s">
        <v>219</v>
      </c>
      <c r="E8" s="67">
        <v>56919.0</v>
      </c>
      <c r="F8" s="83">
        <f t="shared" ref="F8:F10" si="1">E8*1.19</f>
        <v>67733.61</v>
      </c>
      <c r="G8" s="84">
        <f t="shared" ref="G8:G10" si="2">(E8+F8)/3900</f>
        <v>31.96220769</v>
      </c>
      <c r="H8" s="85">
        <f t="shared" ref="H8:H10" si="3">G8*3900</f>
        <v>124652.61</v>
      </c>
      <c r="I8" s="80" t="s">
        <v>16</v>
      </c>
      <c r="J8" s="82" t="s">
        <v>62</v>
      </c>
    </row>
    <row r="9" ht="50.25" customHeight="1">
      <c r="A9" s="55" t="s">
        <v>18</v>
      </c>
      <c r="B9" s="80" t="s">
        <v>220</v>
      </c>
      <c r="C9" s="81" t="s">
        <v>221</v>
      </c>
      <c r="D9" s="82" t="s">
        <v>222</v>
      </c>
      <c r="E9" s="67">
        <v>236000.0</v>
      </c>
      <c r="F9" s="83">
        <f t="shared" si="1"/>
        <v>280840</v>
      </c>
      <c r="G9" s="84">
        <f t="shared" si="2"/>
        <v>132.5230769</v>
      </c>
      <c r="H9" s="85">
        <f t="shared" si="3"/>
        <v>516840</v>
      </c>
      <c r="I9" s="80" t="s">
        <v>16</v>
      </c>
      <c r="J9" s="82" t="s">
        <v>223</v>
      </c>
    </row>
    <row r="10" ht="50.25" customHeight="1">
      <c r="A10" s="55" t="s">
        <v>23</v>
      </c>
      <c r="B10" s="80" t="s">
        <v>224</v>
      </c>
      <c r="C10" s="81" t="s">
        <v>225</v>
      </c>
      <c r="D10" s="80" t="s">
        <v>226</v>
      </c>
      <c r="E10" s="67">
        <v>199000.0</v>
      </c>
      <c r="F10" s="83">
        <f t="shared" si="1"/>
        <v>236810</v>
      </c>
      <c r="G10" s="84">
        <f t="shared" si="2"/>
        <v>111.7461538</v>
      </c>
      <c r="H10" s="85">
        <f t="shared" si="3"/>
        <v>435810</v>
      </c>
      <c r="I10" s="80" t="s">
        <v>16</v>
      </c>
      <c r="J10" s="82" t="s">
        <v>227</v>
      </c>
    </row>
    <row r="11" ht="15.0" hidden="1" customHeight="1">
      <c r="A11" s="25"/>
      <c r="B11" s="59"/>
      <c r="C11" s="59"/>
      <c r="D11" s="59"/>
      <c r="E11" s="59"/>
      <c r="F11" s="59"/>
      <c r="G11" s="59"/>
      <c r="H11" s="59"/>
      <c r="I11" s="59"/>
      <c r="J11" s="59"/>
    </row>
    <row r="12" ht="12.75" customHeight="1"/>
    <row r="13" ht="138.75" customHeight="1">
      <c r="A13" s="27" t="s">
        <v>228</v>
      </c>
      <c r="B13" s="4"/>
      <c r="C13" s="4"/>
      <c r="D13" s="4"/>
      <c r="E13" s="4"/>
      <c r="F13" s="4"/>
      <c r="G13" s="4"/>
      <c r="H13" s="4"/>
      <c r="I13" s="4"/>
      <c r="J13" s="5"/>
    </row>
    <row r="14" ht="12.75" customHeight="1"/>
    <row r="15" ht="75.0" customHeight="1">
      <c r="A15" s="27" t="s">
        <v>229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searchVariation=MCO21709406&amp;position=4&amp;search_layout=stack&amp;type=product&amp;tracking_id=645ef13c-b162-4ab0-bc8e-6ab434cbaf42" ref="C8"/>
    <hyperlink r:id="rId2" ref="C9"/>
    <hyperlink r:id="rId3"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21.88"/>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230</v>
      </c>
      <c r="C7" s="44" t="s">
        <v>231</v>
      </c>
      <c r="D7" s="44" t="s">
        <v>232</v>
      </c>
      <c r="E7" s="44" t="s">
        <v>233</v>
      </c>
      <c r="F7" s="45" t="s">
        <v>234</v>
      </c>
      <c r="G7" s="46" t="s">
        <v>235</v>
      </c>
      <c r="H7" s="44" t="s">
        <v>9</v>
      </c>
      <c r="I7" s="44" t="s">
        <v>236</v>
      </c>
      <c r="J7" s="44" t="s">
        <v>237</v>
      </c>
      <c r="K7" s="10"/>
      <c r="L7" s="10"/>
      <c r="M7" s="10"/>
      <c r="N7" s="10"/>
      <c r="O7" s="10"/>
      <c r="P7" s="10"/>
      <c r="Q7" s="10"/>
      <c r="R7" s="10"/>
      <c r="S7" s="10"/>
      <c r="T7" s="10"/>
      <c r="U7" s="10"/>
      <c r="V7" s="10"/>
      <c r="W7" s="10"/>
      <c r="X7" s="10"/>
      <c r="Y7" s="10"/>
      <c r="Z7" s="10"/>
    </row>
    <row r="8" ht="50.25" customHeight="1">
      <c r="A8" s="55" t="s">
        <v>12</v>
      </c>
      <c r="B8" s="80" t="s">
        <v>238</v>
      </c>
      <c r="C8" s="81" t="s">
        <v>239</v>
      </c>
      <c r="D8" s="82" t="s">
        <v>240</v>
      </c>
      <c r="E8" s="67">
        <v>893296.0</v>
      </c>
      <c r="F8" s="83">
        <f t="shared" ref="F8:F10" si="1">E8*1.19</f>
        <v>1063022.24</v>
      </c>
      <c r="G8" s="86">
        <f t="shared" ref="G8:G10" si="2">(F8+E8)/3900</f>
        <v>501.6200615</v>
      </c>
      <c r="H8" s="87">
        <f t="shared" ref="H8:H10" si="3">G8*3900</f>
        <v>1956318.24</v>
      </c>
      <c r="I8" s="80" t="s">
        <v>61</v>
      </c>
      <c r="J8" s="82" t="s">
        <v>241</v>
      </c>
    </row>
    <row r="9" ht="50.25" customHeight="1">
      <c r="A9" s="55" t="s">
        <v>18</v>
      </c>
      <c r="B9" s="80" t="s">
        <v>13</v>
      </c>
      <c r="C9" s="81" t="s">
        <v>242</v>
      </c>
      <c r="D9" s="82" t="s">
        <v>243</v>
      </c>
      <c r="E9" s="67">
        <v>3850000.0</v>
      </c>
      <c r="F9" s="83">
        <f t="shared" si="1"/>
        <v>4581500</v>
      </c>
      <c r="G9" s="86">
        <f t="shared" si="2"/>
        <v>2161.923077</v>
      </c>
      <c r="H9" s="87">
        <f t="shared" si="3"/>
        <v>8431500</v>
      </c>
      <c r="I9" s="80" t="s">
        <v>61</v>
      </c>
      <c r="J9" s="82" t="s">
        <v>244</v>
      </c>
    </row>
    <row r="10" ht="50.25" customHeight="1">
      <c r="A10" s="55" t="s">
        <v>23</v>
      </c>
      <c r="B10" s="80" t="s">
        <v>13</v>
      </c>
      <c r="C10" s="81" t="s">
        <v>245</v>
      </c>
      <c r="D10" s="82" t="s">
        <v>246</v>
      </c>
      <c r="E10" s="67">
        <v>2399999.0</v>
      </c>
      <c r="F10" s="83">
        <f t="shared" si="1"/>
        <v>2855998.81</v>
      </c>
      <c r="G10" s="86">
        <f t="shared" si="2"/>
        <v>1347.691746</v>
      </c>
      <c r="H10" s="87">
        <f t="shared" si="3"/>
        <v>5255997.81</v>
      </c>
      <c r="I10" s="80" t="s">
        <v>61</v>
      </c>
      <c r="J10" s="82" t="s">
        <v>247</v>
      </c>
    </row>
    <row r="11" ht="15.0" hidden="1" customHeight="1">
      <c r="A11" s="25"/>
      <c r="B11" s="59"/>
      <c r="C11" s="59"/>
      <c r="D11" s="59"/>
      <c r="E11" s="59"/>
      <c r="F11" s="59"/>
      <c r="G11" s="59"/>
      <c r="H11" s="59"/>
      <c r="I11" s="59"/>
      <c r="J11" s="59"/>
    </row>
    <row r="12" ht="12.75" customHeight="1"/>
    <row r="13" ht="138.75" customHeight="1">
      <c r="A13" s="27" t="s">
        <v>248</v>
      </c>
      <c r="B13" s="4"/>
      <c r="C13" s="4"/>
      <c r="D13" s="4"/>
      <c r="E13" s="4"/>
      <c r="F13" s="4"/>
      <c r="G13" s="4"/>
      <c r="H13" s="4"/>
      <c r="I13" s="4"/>
      <c r="J13" s="5"/>
    </row>
    <row r="14" ht="12.75" customHeight="1"/>
    <row r="15" ht="75.0" customHeight="1">
      <c r="A15" s="27" t="s">
        <v>249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location="position=1&amp;search_layout=stack&amp;type=item&amp;tracking_id=0fd9fb34-0351-4dd5-bffd-e6bf27036d09" ref="C9"/>
    <hyperlink r:id="rId3" location="reco_item_pos=0&amp;reco_backend=pads-retrieval-model-odin_marketplace&amp;reco_backend_type=&amp;reco_client=vip-pads-up&amp;reco_id=4ba4c990-688a-4e14-ba09-aa8d43e7531a&amp;is_advertising=true&amp;ad_domain=VIPDESKTOP_UP&amp;ad_position=1&amp;ad_click_id=ZGYxNDliOTItZTMyNC00Y2ViLThhN2ItYWFkYmMzNDY0NTli" ref="C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250</v>
      </c>
      <c r="C7" s="44" t="s">
        <v>251</v>
      </c>
      <c r="D7" s="44" t="s">
        <v>252</v>
      </c>
      <c r="E7" s="44" t="s">
        <v>253</v>
      </c>
      <c r="F7" s="45" t="s">
        <v>254</v>
      </c>
      <c r="G7" s="46" t="s">
        <v>255</v>
      </c>
      <c r="H7" s="44" t="s">
        <v>9</v>
      </c>
      <c r="I7" s="44" t="s">
        <v>256</v>
      </c>
      <c r="J7" s="44" t="s">
        <v>257</v>
      </c>
      <c r="K7" s="10"/>
      <c r="L7" s="10"/>
      <c r="M7" s="10"/>
      <c r="N7" s="10"/>
      <c r="O7" s="10"/>
      <c r="P7" s="10"/>
      <c r="Q7" s="10"/>
      <c r="R7" s="10"/>
      <c r="S7" s="10"/>
      <c r="T7" s="10"/>
      <c r="U7" s="10"/>
      <c r="V7" s="10"/>
      <c r="W7" s="10"/>
      <c r="X7" s="10"/>
      <c r="Y7" s="10"/>
      <c r="Z7" s="10"/>
    </row>
    <row r="8" ht="50.25" customHeight="1">
      <c r="A8" s="55" t="s">
        <v>12</v>
      </c>
      <c r="B8" s="80" t="s">
        <v>13</v>
      </c>
      <c r="C8" s="81" t="s">
        <v>258</v>
      </c>
      <c r="D8" s="82" t="s">
        <v>259</v>
      </c>
      <c r="E8" s="67">
        <v>50400.0</v>
      </c>
      <c r="F8" s="83">
        <f t="shared" ref="F8:F10" si="1">E8*1.19</f>
        <v>59976</v>
      </c>
      <c r="G8" s="83">
        <f t="shared" ref="G8:G10" si="2">(F8+E8)/3900</f>
        <v>28.30153846</v>
      </c>
      <c r="H8" s="88">
        <f t="shared" ref="H8:H10" si="3">G8*3900</f>
        <v>110376</v>
      </c>
      <c r="I8" s="80" t="s">
        <v>16</v>
      </c>
      <c r="J8" s="82" t="s">
        <v>260</v>
      </c>
    </row>
    <row r="9" ht="50.25" customHeight="1">
      <c r="A9" s="55" t="s">
        <v>18</v>
      </c>
      <c r="B9" s="80" t="s">
        <v>261</v>
      </c>
      <c r="C9" s="81" t="s">
        <v>262</v>
      </c>
      <c r="D9" s="82" t="s">
        <v>263</v>
      </c>
      <c r="E9" s="67">
        <v>812000.0</v>
      </c>
      <c r="F9" s="83">
        <f t="shared" si="1"/>
        <v>966280</v>
      </c>
      <c r="G9" s="83">
        <f t="shared" si="2"/>
        <v>455.9692308</v>
      </c>
      <c r="H9" s="88">
        <f t="shared" si="3"/>
        <v>1778280</v>
      </c>
      <c r="I9" s="80" t="s">
        <v>16</v>
      </c>
      <c r="J9" s="82" t="s">
        <v>264</v>
      </c>
    </row>
    <row r="10" ht="50.25" customHeight="1">
      <c r="A10" s="55" t="s">
        <v>23</v>
      </c>
      <c r="B10" s="80" t="s">
        <v>19</v>
      </c>
      <c r="C10" s="81" t="s">
        <v>265</v>
      </c>
      <c r="D10" s="82" t="s">
        <v>266</v>
      </c>
      <c r="E10" s="67">
        <v>812000.0</v>
      </c>
      <c r="F10" s="83">
        <f t="shared" si="1"/>
        <v>966280</v>
      </c>
      <c r="G10" s="83">
        <f t="shared" si="2"/>
        <v>455.9692308</v>
      </c>
      <c r="H10" s="88">
        <f t="shared" si="3"/>
        <v>1778280</v>
      </c>
      <c r="I10" s="80" t="s">
        <v>16</v>
      </c>
      <c r="J10" s="82" t="s">
        <v>267</v>
      </c>
    </row>
    <row r="11" ht="15.0" hidden="1" customHeight="1">
      <c r="A11" s="25"/>
      <c r="B11" s="59"/>
      <c r="C11" s="59"/>
      <c r="D11" s="59"/>
      <c r="E11" s="59"/>
      <c r="F11" s="59"/>
      <c r="G11" s="59"/>
      <c r="H11" s="59"/>
      <c r="I11" s="59"/>
      <c r="J11" s="59"/>
    </row>
    <row r="12" ht="12.75" customHeight="1"/>
    <row r="13" ht="138.75" customHeight="1">
      <c r="A13" s="27" t="s">
        <v>268</v>
      </c>
      <c r="B13" s="4"/>
      <c r="C13" s="4"/>
      <c r="D13" s="4"/>
      <c r="E13" s="4"/>
      <c r="F13" s="4"/>
      <c r="G13" s="4"/>
      <c r="H13" s="4"/>
      <c r="I13" s="4"/>
      <c r="J13" s="5"/>
    </row>
    <row r="14" ht="12.75" customHeight="1"/>
    <row r="15" ht="75.0" customHeight="1">
      <c r="A15" s="27" t="s">
        <v>269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is_advertising=true&amp;searchVariation=MCO14924731&amp;position=1&amp;search_layout=stack&amp;type=pad&amp;tracking_id=9217704f-2715-469b-afb8-bab5f98c6e2a&amp;is_advertising=true&amp;ad_domain=VQCATCORE_LST&amp;ad_position=1&amp;ad_click_id=ZTY3NGNiNWItYTg0My00YzlmLWFkZGYtYjA0YWZkODA0OGFk" ref="C8"/>
    <hyperlink r:id="rId2" ref="C9"/>
    <hyperlink r:id="rId3" ref="C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270</v>
      </c>
      <c r="C7" s="44" t="s">
        <v>271</v>
      </c>
      <c r="D7" s="44" t="s">
        <v>272</v>
      </c>
      <c r="E7" s="44" t="s">
        <v>273</v>
      </c>
      <c r="F7" s="89" t="s">
        <v>274</v>
      </c>
      <c r="G7" s="46" t="s">
        <v>275</v>
      </c>
      <c r="H7" s="44" t="s">
        <v>9</v>
      </c>
      <c r="I7" s="44" t="s">
        <v>276</v>
      </c>
      <c r="J7" s="44" t="s">
        <v>277</v>
      </c>
      <c r="K7" s="10"/>
      <c r="L7" s="10"/>
      <c r="M7" s="10"/>
      <c r="N7" s="10"/>
      <c r="O7" s="10"/>
      <c r="P7" s="10"/>
      <c r="Q7" s="10"/>
      <c r="R7" s="10"/>
      <c r="S7" s="10"/>
      <c r="T7" s="10"/>
      <c r="U7" s="10"/>
      <c r="V7" s="10"/>
      <c r="W7" s="10"/>
      <c r="X7" s="10"/>
      <c r="Y7" s="10"/>
      <c r="Z7" s="10"/>
    </row>
    <row r="8" ht="50.25" customHeight="1">
      <c r="A8" s="55" t="s">
        <v>12</v>
      </c>
      <c r="B8" s="80" t="s">
        <v>13</v>
      </c>
      <c r="C8" s="81" t="s">
        <v>278</v>
      </c>
      <c r="D8" s="82" t="s">
        <v>279</v>
      </c>
      <c r="E8" s="83">
        <v>190000.0</v>
      </c>
      <c r="F8" s="83">
        <f t="shared" ref="F8:F10" si="1">E8*1.19</f>
        <v>226100</v>
      </c>
      <c r="G8" s="90">
        <f t="shared" ref="G8:G10" si="2">(F8+E8)/3900</f>
        <v>106.6923077</v>
      </c>
      <c r="H8" s="87">
        <f t="shared" ref="H8:H10" si="3">G8*3900</f>
        <v>416100</v>
      </c>
      <c r="I8" s="80" t="s">
        <v>61</v>
      </c>
      <c r="J8" s="82" t="s">
        <v>280</v>
      </c>
    </row>
    <row r="9" ht="50.25" customHeight="1">
      <c r="A9" s="55" t="s">
        <v>18</v>
      </c>
      <c r="B9" s="80" t="s">
        <v>261</v>
      </c>
      <c r="C9" s="81" t="s">
        <v>281</v>
      </c>
      <c r="D9" s="82" t="s">
        <v>282</v>
      </c>
      <c r="E9" s="67">
        <v>705000.0</v>
      </c>
      <c r="F9" s="83">
        <f t="shared" si="1"/>
        <v>838950</v>
      </c>
      <c r="G9" s="90">
        <f t="shared" si="2"/>
        <v>395.8846154</v>
      </c>
      <c r="H9" s="87">
        <f t="shared" si="3"/>
        <v>1543950</v>
      </c>
      <c r="I9" s="80" t="s">
        <v>61</v>
      </c>
      <c r="J9" s="82" t="s">
        <v>283</v>
      </c>
    </row>
    <row r="10" ht="50.25" customHeight="1">
      <c r="A10" s="55" t="s">
        <v>23</v>
      </c>
      <c r="B10" s="80" t="s">
        <v>284</v>
      </c>
      <c r="C10" s="81" t="s">
        <v>285</v>
      </c>
      <c r="D10" s="82" t="s">
        <v>286</v>
      </c>
      <c r="E10" s="83">
        <v>430000.0</v>
      </c>
      <c r="F10" s="83">
        <f t="shared" si="1"/>
        <v>511700</v>
      </c>
      <c r="G10" s="90">
        <f t="shared" si="2"/>
        <v>241.4615385</v>
      </c>
      <c r="H10" s="87">
        <f t="shared" si="3"/>
        <v>941700</v>
      </c>
      <c r="I10" s="80" t="s">
        <v>61</v>
      </c>
      <c r="J10" s="82" t="s">
        <v>287</v>
      </c>
    </row>
    <row r="11" ht="15.0" hidden="1" customHeight="1">
      <c r="A11" s="25"/>
      <c r="B11" s="59"/>
      <c r="C11" s="59"/>
      <c r="D11" s="59"/>
      <c r="E11" s="59"/>
      <c r="F11" s="59"/>
      <c r="G11" s="59"/>
      <c r="H11" s="59"/>
      <c r="I11" s="59"/>
      <c r="J11" s="59"/>
    </row>
    <row r="12" ht="12.75" customHeight="1"/>
    <row r="13" ht="138.75" customHeight="1">
      <c r="A13" s="27" t="s">
        <v>288</v>
      </c>
      <c r="B13" s="4"/>
      <c r="C13" s="4"/>
      <c r="D13" s="4"/>
      <c r="E13" s="4"/>
      <c r="F13" s="4"/>
      <c r="G13" s="4"/>
      <c r="H13" s="4"/>
      <c r="I13" s="4"/>
      <c r="J13" s="5"/>
    </row>
    <row r="14" ht="12.75" customHeight="1"/>
    <row r="15" ht="75.0" customHeight="1">
      <c r="A15" s="27" t="s">
        <v>289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is_advertising=true&amp;searchVariation=MCO36538858&amp;position=2&amp;search_layout=stack&amp;type=pad&amp;tracking_id=9a9fe571-d45a-45cd-bdf6-b4a7012b264a&amp;is_advertising=true&amp;ad_domain=VQCATCORE_LST&amp;ad_position=2&amp;ad_click_id=ODFlYTdmN2EtZGVhMS00ZTkyLWE1NzctZjU0MjNlODc2M2E0" ref="C8"/>
    <hyperlink r:id="rId2" ref="C9"/>
    <hyperlink r:id="rId3" ref="C10"/>
  </hyperlinks>
  <printOptions/>
  <pageMargins bottom="0.75" footer="0.0" header="0.0" left="0.7" right="0.7" top="0.75"/>
  <pageSetup orientation="landscape"/>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290</v>
      </c>
      <c r="C7" s="44" t="s">
        <v>291</v>
      </c>
      <c r="D7" s="44" t="s">
        <v>292</v>
      </c>
      <c r="E7" s="44" t="s">
        <v>293</v>
      </c>
      <c r="F7" s="45" t="s">
        <v>294</v>
      </c>
      <c r="G7" s="46" t="s">
        <v>295</v>
      </c>
      <c r="H7" s="44" t="s">
        <v>9</v>
      </c>
      <c r="I7" s="44" t="s">
        <v>296</v>
      </c>
      <c r="J7" s="44" t="s">
        <v>297</v>
      </c>
      <c r="K7" s="10"/>
      <c r="L7" s="10"/>
      <c r="M7" s="10"/>
      <c r="N7" s="10"/>
      <c r="O7" s="10"/>
      <c r="P7" s="10"/>
      <c r="Q7" s="10"/>
      <c r="R7" s="10"/>
      <c r="S7" s="10"/>
      <c r="T7" s="10"/>
      <c r="U7" s="10"/>
      <c r="V7" s="10"/>
      <c r="W7" s="10"/>
      <c r="X7" s="10"/>
      <c r="Y7" s="10"/>
      <c r="Z7" s="10"/>
    </row>
    <row r="8" ht="50.25" customHeight="1">
      <c r="A8" s="55" t="s">
        <v>12</v>
      </c>
      <c r="B8" s="80" t="s">
        <v>13</v>
      </c>
      <c r="C8" s="81" t="s">
        <v>298</v>
      </c>
      <c r="D8" s="82" t="s">
        <v>299</v>
      </c>
      <c r="E8" s="83">
        <v>1650000.0</v>
      </c>
      <c r="F8" s="83">
        <f t="shared" ref="F8:F10" si="1">E8*1.19</f>
        <v>1963500</v>
      </c>
      <c r="G8" s="90">
        <f t="shared" ref="G8:G10" si="2">(F8+E8)/3900</f>
        <v>926.5384615</v>
      </c>
      <c r="H8" s="87">
        <f t="shared" ref="H8:H10" si="3">G8*3900</f>
        <v>3613500</v>
      </c>
      <c r="I8" s="80" t="s">
        <v>61</v>
      </c>
      <c r="J8" s="91" t="s">
        <v>300</v>
      </c>
    </row>
    <row r="9" ht="50.25" customHeight="1">
      <c r="A9" s="55" t="s">
        <v>18</v>
      </c>
      <c r="B9" s="80" t="s">
        <v>301</v>
      </c>
      <c r="C9" s="81" t="s">
        <v>302</v>
      </c>
      <c r="D9" s="82" t="s">
        <v>303</v>
      </c>
      <c r="E9" s="83">
        <v>1895000.0</v>
      </c>
      <c r="F9" s="83">
        <f t="shared" si="1"/>
        <v>2255050</v>
      </c>
      <c r="G9" s="90">
        <f t="shared" si="2"/>
        <v>1064.115385</v>
      </c>
      <c r="H9" s="87">
        <f t="shared" si="3"/>
        <v>4150050</v>
      </c>
      <c r="I9" s="80" t="s">
        <v>61</v>
      </c>
      <c r="J9" s="91" t="s">
        <v>304</v>
      </c>
    </row>
    <row r="10" ht="50.25" customHeight="1">
      <c r="A10" s="55" t="s">
        <v>23</v>
      </c>
      <c r="B10" s="80" t="s">
        <v>13</v>
      </c>
      <c r="C10" s="81" t="s">
        <v>305</v>
      </c>
      <c r="D10" s="82" t="s">
        <v>306</v>
      </c>
      <c r="E10" s="83">
        <v>2627000.0</v>
      </c>
      <c r="F10" s="83">
        <f t="shared" si="1"/>
        <v>3126130</v>
      </c>
      <c r="G10" s="90">
        <f t="shared" si="2"/>
        <v>1475.161538</v>
      </c>
      <c r="H10" s="87">
        <f t="shared" si="3"/>
        <v>5753130</v>
      </c>
      <c r="I10" s="80" t="s">
        <v>61</v>
      </c>
      <c r="J10" s="91" t="s">
        <v>307</v>
      </c>
    </row>
    <row r="11" ht="15.0" hidden="1" customHeight="1">
      <c r="A11" s="25"/>
      <c r="B11" s="59"/>
      <c r="C11" s="59"/>
      <c r="D11" s="59"/>
      <c r="E11" s="59"/>
      <c r="F11" s="59"/>
      <c r="G11" s="59"/>
      <c r="H11" s="59"/>
      <c r="I11" s="59"/>
      <c r="J11" s="59"/>
    </row>
    <row r="12" ht="12.75" customHeight="1"/>
    <row r="13" ht="138.75" customHeight="1">
      <c r="A13" s="27" t="s">
        <v>308</v>
      </c>
      <c r="B13" s="4"/>
      <c r="C13" s="4"/>
      <c r="D13" s="4"/>
      <c r="E13" s="4"/>
      <c r="F13" s="4"/>
      <c r="G13" s="4"/>
      <c r="H13" s="4"/>
      <c r="I13" s="4"/>
      <c r="J13" s="5"/>
    </row>
    <row r="14" ht="12.75" customHeight="1"/>
    <row r="15" ht="75.0" customHeight="1">
      <c r="A15" s="27" t="s">
        <v>309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searchVariation=MCO28087623&amp;position=13&amp;search_layout=stack&amp;type=product&amp;tracking_id=1fca398b-5b2e-4e88-a135-acde060ae640" ref="C8"/>
    <hyperlink r:id="rId2" ref="C9"/>
    <hyperlink r:id="rId3" location="position=13&amp;search_layout=stack&amp;type=item&amp;tracking_id=2dccec45-5e91-4096-aef0-9854c6a970b8" ref="C10"/>
  </hyperlinks>
  <printOptions/>
  <pageMargins bottom="0.75" footer="0.0" header="0.0" left="0.7" right="0.7" top="0.75"/>
  <pageSetup orientation="landscape"/>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64">
        <v>0.0</v>
      </c>
      <c r="B5" s="4"/>
      <c r="C5" s="4"/>
      <c r="D5" s="4"/>
      <c r="E5" s="4"/>
      <c r="F5" s="4"/>
      <c r="G5" s="4"/>
      <c r="H5" s="4"/>
      <c r="I5" s="4"/>
      <c r="J5" s="5"/>
    </row>
    <row r="6" ht="15.75" customHeight="1"/>
    <row r="7" ht="75.75" customHeight="1">
      <c r="A7" s="6" t="s">
        <v>2</v>
      </c>
      <c r="B7" s="44" t="s">
        <v>310</v>
      </c>
      <c r="C7" s="44" t="s">
        <v>311</v>
      </c>
      <c r="D7" s="44" t="s">
        <v>312</v>
      </c>
      <c r="E7" s="44" t="s">
        <v>313</v>
      </c>
      <c r="F7" s="45" t="s">
        <v>314</v>
      </c>
      <c r="G7" s="46" t="s">
        <v>315</v>
      </c>
      <c r="H7" s="44" t="s">
        <v>9</v>
      </c>
      <c r="I7" s="44" t="s">
        <v>316</v>
      </c>
      <c r="J7" s="44" t="s">
        <v>317</v>
      </c>
      <c r="K7" s="10"/>
      <c r="L7" s="10"/>
      <c r="M7" s="10"/>
      <c r="N7" s="10"/>
      <c r="O7" s="10"/>
      <c r="P7" s="10"/>
      <c r="Q7" s="10"/>
      <c r="R7" s="10"/>
      <c r="S7" s="10"/>
      <c r="T7" s="10"/>
      <c r="U7" s="10"/>
      <c r="V7" s="10"/>
      <c r="W7" s="10"/>
      <c r="X7" s="10"/>
      <c r="Y7" s="10"/>
      <c r="Z7" s="10"/>
    </row>
    <row r="8" ht="50.25" customHeight="1">
      <c r="A8" s="55" t="s">
        <v>12</v>
      </c>
      <c r="B8" s="80" t="s">
        <v>63</v>
      </c>
      <c r="C8" s="81" t="s">
        <v>318</v>
      </c>
      <c r="D8" s="82" t="s">
        <v>319</v>
      </c>
      <c r="E8" s="67">
        <v>109900.0</v>
      </c>
      <c r="F8" s="83">
        <f t="shared" ref="F8:F10" si="1">E8*1.19</f>
        <v>130781</v>
      </c>
      <c r="G8" s="90">
        <f t="shared" ref="G8:G10" si="2">(F8+E8)/3900</f>
        <v>61.71307692</v>
      </c>
      <c r="H8" s="87">
        <f t="shared" ref="H8:H10" si="3">G8*3900</f>
        <v>240681</v>
      </c>
      <c r="I8" s="80" t="s">
        <v>16</v>
      </c>
      <c r="J8" s="82" t="s">
        <v>320</v>
      </c>
    </row>
    <row r="9" ht="50.25" customHeight="1">
      <c r="A9" s="55" t="s">
        <v>18</v>
      </c>
      <c r="B9" s="80" t="s">
        <v>13</v>
      </c>
      <c r="C9" s="81" t="s">
        <v>321</v>
      </c>
      <c r="D9" s="82" t="s">
        <v>322</v>
      </c>
      <c r="E9" s="67">
        <v>90000.0</v>
      </c>
      <c r="F9" s="83">
        <f t="shared" si="1"/>
        <v>107100</v>
      </c>
      <c r="G9" s="90">
        <f t="shared" si="2"/>
        <v>50.53846154</v>
      </c>
      <c r="H9" s="87">
        <f t="shared" si="3"/>
        <v>197100</v>
      </c>
      <c r="I9" s="80" t="s">
        <v>16</v>
      </c>
      <c r="J9" s="82" t="s">
        <v>323</v>
      </c>
    </row>
    <row r="10" ht="50.25" customHeight="1">
      <c r="A10" s="55" t="s">
        <v>23</v>
      </c>
      <c r="B10" s="80" t="s">
        <v>284</v>
      </c>
      <c r="C10" s="81" t="s">
        <v>324</v>
      </c>
      <c r="D10" s="82" t="s">
        <v>325</v>
      </c>
      <c r="E10" s="67">
        <v>46000.0</v>
      </c>
      <c r="F10" s="83">
        <f t="shared" si="1"/>
        <v>54740</v>
      </c>
      <c r="G10" s="90">
        <f t="shared" si="2"/>
        <v>25.83076923</v>
      </c>
      <c r="H10" s="87">
        <f t="shared" si="3"/>
        <v>100740</v>
      </c>
      <c r="I10" s="80" t="s">
        <v>16</v>
      </c>
      <c r="J10" s="80" t="s">
        <v>326</v>
      </c>
    </row>
    <row r="11" ht="15.0" hidden="1" customHeight="1">
      <c r="A11" s="25"/>
      <c r="B11" s="59"/>
      <c r="C11" s="59"/>
      <c r="D11" s="59"/>
      <c r="E11" s="59"/>
      <c r="F11" s="59"/>
      <c r="G11" s="59"/>
      <c r="H11" s="59"/>
      <c r="I11" s="59"/>
      <c r="J11" s="59"/>
    </row>
    <row r="12" ht="12.75" customHeight="1"/>
    <row r="13" ht="138.75" customHeight="1">
      <c r="A13" s="27" t="s">
        <v>327</v>
      </c>
      <c r="B13" s="4"/>
      <c r="C13" s="4"/>
      <c r="D13" s="4"/>
      <c r="E13" s="4"/>
      <c r="F13" s="4"/>
      <c r="G13" s="4"/>
      <c r="H13" s="4"/>
      <c r="I13" s="4"/>
      <c r="J13" s="5"/>
    </row>
    <row r="14" ht="12.75" customHeight="1"/>
    <row r="15" ht="75.0" customHeight="1">
      <c r="A15" s="27" t="s">
        <v>328</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location="is_advertising=true&amp;searchVariation=MCO23026811&amp;position=1&amp;search_layout=stack&amp;type=pad&amp;tracking_id=0694a9e8-3b57-4bb8-af1f-b5fae4bf605b&amp;is_advertising=true&amp;ad_domain=VQCATCORE_LST&amp;ad_position=1&amp;ad_click_id=YjRlZTZiMmUtNzVkYS00NDYyLWJjMmUtNzBmZjkzNTY3Yzlj" ref="C9"/>
    <hyperlink r:id="rId3" ref="C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t="s">
        <v>329</v>
      </c>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330</v>
      </c>
      <c r="C7" s="44" t="s">
        <v>331</v>
      </c>
      <c r="D7" s="44" t="s">
        <v>332</v>
      </c>
      <c r="E7" s="44" t="s">
        <v>333</v>
      </c>
      <c r="F7" s="45" t="s">
        <v>334</v>
      </c>
      <c r="G7" s="46" t="s">
        <v>335</v>
      </c>
      <c r="H7" s="44" t="s">
        <v>9</v>
      </c>
      <c r="I7" s="44" t="s">
        <v>336</v>
      </c>
      <c r="J7" s="44" t="s">
        <v>337</v>
      </c>
      <c r="K7" s="10"/>
      <c r="L7" s="10"/>
      <c r="M7" s="10"/>
      <c r="N7" s="10"/>
      <c r="O7" s="10"/>
      <c r="P7" s="10"/>
      <c r="Q7" s="10"/>
      <c r="R7" s="10"/>
      <c r="S7" s="10"/>
      <c r="T7" s="10"/>
      <c r="U7" s="10"/>
      <c r="V7" s="10"/>
      <c r="W7" s="10"/>
      <c r="X7" s="10"/>
      <c r="Y7" s="10"/>
      <c r="Z7" s="10"/>
    </row>
    <row r="8" ht="50.25" customHeight="1">
      <c r="A8" s="55" t="s">
        <v>12</v>
      </c>
      <c r="B8" s="80" t="s">
        <v>120</v>
      </c>
      <c r="C8" s="81" t="s">
        <v>338</v>
      </c>
      <c r="D8" s="82" t="s">
        <v>339</v>
      </c>
      <c r="E8" s="67">
        <v>94430.0</v>
      </c>
      <c r="F8" s="83">
        <f t="shared" ref="F8:F10" si="1">E8*1.19</f>
        <v>112371.7</v>
      </c>
      <c r="G8" s="83">
        <f t="shared" ref="G8:G10" si="2">(F8+E8)/3900</f>
        <v>53.02607692</v>
      </c>
      <c r="H8" s="83">
        <f t="shared" ref="H8:H10" si="3">G8*3900</f>
        <v>206801.7</v>
      </c>
      <c r="I8" s="80" t="s">
        <v>16</v>
      </c>
      <c r="J8" s="82" t="s">
        <v>340</v>
      </c>
    </row>
    <row r="9" ht="68.25" customHeight="1">
      <c r="A9" s="55" t="s">
        <v>18</v>
      </c>
      <c r="B9" s="80" t="s">
        <v>341</v>
      </c>
      <c r="C9" s="81" t="s">
        <v>342</v>
      </c>
      <c r="D9" s="82" t="s">
        <v>343</v>
      </c>
      <c r="E9" s="92">
        <v>65900.0</v>
      </c>
      <c r="F9" s="83">
        <f t="shared" si="1"/>
        <v>78421</v>
      </c>
      <c r="G9" s="83">
        <f t="shared" si="2"/>
        <v>37.00538462</v>
      </c>
      <c r="H9" s="83">
        <f t="shared" si="3"/>
        <v>144321</v>
      </c>
      <c r="I9" s="80" t="s">
        <v>16</v>
      </c>
      <c r="J9" s="82" t="s">
        <v>344</v>
      </c>
    </row>
    <row r="10" ht="50.25" customHeight="1">
      <c r="A10" s="55" t="s">
        <v>23</v>
      </c>
      <c r="B10" s="80" t="s">
        <v>345</v>
      </c>
      <c r="C10" s="81" t="s">
        <v>346</v>
      </c>
      <c r="D10" s="93" t="s">
        <v>347</v>
      </c>
      <c r="E10" s="67">
        <v>90000.0</v>
      </c>
      <c r="F10" s="83">
        <f t="shared" si="1"/>
        <v>107100</v>
      </c>
      <c r="G10" s="83">
        <f t="shared" si="2"/>
        <v>50.53846154</v>
      </c>
      <c r="H10" s="83">
        <f t="shared" si="3"/>
        <v>197100</v>
      </c>
      <c r="I10" s="80" t="s">
        <v>16</v>
      </c>
      <c r="J10" s="94" t="s">
        <v>348</v>
      </c>
    </row>
    <row r="11" ht="15.0" hidden="1" customHeight="1">
      <c r="A11" s="25"/>
      <c r="B11" s="59"/>
      <c r="C11" s="59"/>
      <c r="D11" s="59"/>
      <c r="E11" s="59"/>
      <c r="F11" s="59"/>
      <c r="G11" s="59"/>
      <c r="H11" s="59"/>
      <c r="I11" s="59"/>
      <c r="J11" s="59"/>
    </row>
    <row r="12" ht="12.75" customHeight="1"/>
    <row r="13" ht="138.75" customHeight="1">
      <c r="A13" s="27" t="s">
        <v>349</v>
      </c>
      <c r="B13" s="4"/>
      <c r="C13" s="4"/>
      <c r="D13" s="4"/>
      <c r="E13" s="4"/>
      <c r="F13" s="4"/>
      <c r="G13" s="4"/>
      <c r="H13" s="4"/>
      <c r="I13" s="4"/>
      <c r="J13" s="5"/>
    </row>
    <row r="14" ht="12.75" customHeight="1"/>
    <row r="15" ht="75.0" customHeight="1">
      <c r="A15" s="27" t="s">
        <v>350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searchVariation=MCO16211422&amp;position=3&amp;search_layout=stack&amp;type=product&amp;tracking_id=7a5eaca7-1b3b-422c-8409-09afa8f8a058" ref="C8"/>
    <hyperlink r:id="rId2" ref="C9"/>
    <hyperlink r:id="rId3" ref="C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351</v>
      </c>
      <c r="C7" s="44" t="s">
        <v>352</v>
      </c>
      <c r="D7" s="44" t="s">
        <v>353</v>
      </c>
      <c r="E7" s="44" t="s">
        <v>354</v>
      </c>
      <c r="F7" s="45" t="s">
        <v>355</v>
      </c>
      <c r="G7" s="46" t="s">
        <v>356</v>
      </c>
      <c r="H7" s="44" t="s">
        <v>9</v>
      </c>
      <c r="I7" s="44" t="s">
        <v>357</v>
      </c>
      <c r="J7" s="44" t="s">
        <v>358</v>
      </c>
      <c r="K7" s="10"/>
      <c r="L7" s="10"/>
      <c r="M7" s="10"/>
      <c r="N7" s="10"/>
      <c r="O7" s="10"/>
      <c r="P7" s="10"/>
      <c r="Q7" s="10"/>
      <c r="R7" s="10"/>
      <c r="S7" s="10"/>
      <c r="T7" s="10"/>
      <c r="U7" s="10"/>
      <c r="V7" s="10"/>
      <c r="W7" s="10"/>
      <c r="X7" s="10"/>
      <c r="Y7" s="10"/>
      <c r="Z7" s="10"/>
    </row>
    <row r="8" ht="50.25" customHeight="1">
      <c r="A8" s="55" t="s">
        <v>12</v>
      </c>
      <c r="B8" s="80" t="s">
        <v>359</v>
      </c>
      <c r="C8" s="81" t="s">
        <v>360</v>
      </c>
      <c r="D8" s="82" t="s">
        <v>361</v>
      </c>
      <c r="E8" s="67">
        <v>460000.0</v>
      </c>
      <c r="F8" s="83">
        <f t="shared" ref="F8:F10" si="1">E8*1.19</f>
        <v>547400</v>
      </c>
      <c r="G8" s="90">
        <f t="shared" ref="G8:G10" si="2">(F8+E8)/3900</f>
        <v>258.3076923</v>
      </c>
      <c r="H8" s="95">
        <f t="shared" ref="H8:H10" si="3">G8*3900</f>
        <v>1007400</v>
      </c>
      <c r="I8" s="80" t="s">
        <v>16</v>
      </c>
      <c r="J8" s="82" t="s">
        <v>362</v>
      </c>
    </row>
    <row r="9" ht="50.25" customHeight="1">
      <c r="A9" s="55" t="s">
        <v>18</v>
      </c>
      <c r="B9" s="80" t="s">
        <v>359</v>
      </c>
      <c r="C9" s="81" t="s">
        <v>363</v>
      </c>
      <c r="D9" s="82" t="s">
        <v>364</v>
      </c>
      <c r="E9" s="67">
        <v>640000.0</v>
      </c>
      <c r="F9" s="83">
        <f t="shared" si="1"/>
        <v>761600</v>
      </c>
      <c r="G9" s="90">
        <f t="shared" si="2"/>
        <v>359.3846154</v>
      </c>
      <c r="H9" s="95">
        <f t="shared" si="3"/>
        <v>1401600</v>
      </c>
      <c r="I9" s="80" t="s">
        <v>16</v>
      </c>
      <c r="J9" s="82" t="s">
        <v>365</v>
      </c>
    </row>
    <row r="10" ht="50.25" customHeight="1">
      <c r="A10" s="55" t="s">
        <v>23</v>
      </c>
      <c r="B10" s="80" t="s">
        <v>359</v>
      </c>
      <c r="C10" s="81" t="s">
        <v>366</v>
      </c>
      <c r="D10" s="82" t="s">
        <v>367</v>
      </c>
      <c r="E10" s="92">
        <v>890000.0</v>
      </c>
      <c r="F10" s="83">
        <f t="shared" si="1"/>
        <v>1059100</v>
      </c>
      <c r="G10" s="90">
        <f t="shared" si="2"/>
        <v>499.7692308</v>
      </c>
      <c r="H10" s="95">
        <f t="shared" si="3"/>
        <v>1949100</v>
      </c>
      <c r="I10" s="80" t="s">
        <v>16</v>
      </c>
      <c r="J10" s="80" t="s">
        <v>365</v>
      </c>
    </row>
    <row r="11" ht="15.0" hidden="1" customHeight="1">
      <c r="A11" s="25"/>
      <c r="B11" s="59"/>
      <c r="C11" s="59"/>
      <c r="D11" s="59"/>
      <c r="E11" s="59"/>
      <c r="F11" s="59"/>
      <c r="G11" s="96">
        <f>F11+E11</f>
        <v>0</v>
      </c>
      <c r="H11" s="59"/>
      <c r="I11" s="59"/>
      <c r="J11" s="59"/>
    </row>
    <row r="12" ht="12.75" customHeight="1">
      <c r="G12" s="97"/>
    </row>
    <row r="13" ht="138.75" customHeight="1">
      <c r="A13" s="27" t="s">
        <v>368</v>
      </c>
      <c r="B13" s="4"/>
      <c r="C13" s="4"/>
      <c r="D13" s="4"/>
      <c r="E13" s="4"/>
      <c r="F13" s="4"/>
      <c r="G13" s="4"/>
      <c r="H13" s="4"/>
      <c r="I13" s="4"/>
      <c r="J13" s="5"/>
    </row>
    <row r="14" ht="12.75" customHeight="1"/>
    <row r="15" ht="75.0" customHeight="1">
      <c r="A15" s="27" t="s">
        <v>369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370</v>
      </c>
      <c r="C7" s="44" t="s">
        <v>371</v>
      </c>
      <c r="D7" s="44" t="s">
        <v>372</v>
      </c>
      <c r="E7" s="44" t="s">
        <v>373</v>
      </c>
      <c r="F7" s="45" t="s">
        <v>374</v>
      </c>
      <c r="G7" s="46" t="s">
        <v>375</v>
      </c>
      <c r="H7" s="44" t="s">
        <v>9</v>
      </c>
      <c r="I7" s="44" t="s">
        <v>376</v>
      </c>
      <c r="J7" s="44" t="s">
        <v>377</v>
      </c>
      <c r="K7" s="10"/>
      <c r="L7" s="10"/>
      <c r="M7" s="10"/>
      <c r="N7" s="10"/>
      <c r="O7" s="10"/>
      <c r="P7" s="10"/>
      <c r="Q7" s="10"/>
      <c r="R7" s="10"/>
      <c r="S7" s="10"/>
      <c r="T7" s="10"/>
      <c r="U7" s="10"/>
      <c r="V7" s="10"/>
      <c r="W7" s="10"/>
      <c r="X7" s="10"/>
      <c r="Y7" s="10"/>
      <c r="Z7" s="10"/>
    </row>
    <row r="8" ht="50.25" customHeight="1">
      <c r="A8" s="55" t="s">
        <v>12</v>
      </c>
      <c r="B8" s="98" t="s">
        <v>378</v>
      </c>
      <c r="C8" s="98" t="s">
        <v>379</v>
      </c>
      <c r="D8" s="99" t="s">
        <v>380</v>
      </c>
      <c r="E8" s="100">
        <v>778741.0</v>
      </c>
      <c r="F8" s="101">
        <f t="shared" ref="F8:F10" si="1">E8*1.19</f>
        <v>926701.79</v>
      </c>
      <c r="G8" s="35">
        <f t="shared" ref="G8:G10" si="2">(F8+E8)/3900</f>
        <v>437.2930231</v>
      </c>
      <c r="H8" s="102">
        <f t="shared" ref="H8:H10" si="3">G8*3900</f>
        <v>1705442.79</v>
      </c>
      <c r="I8" s="103" t="s">
        <v>61</v>
      </c>
      <c r="J8" s="98"/>
    </row>
    <row r="9" ht="50.25" customHeight="1">
      <c r="A9" s="55" t="s">
        <v>18</v>
      </c>
      <c r="B9" s="98" t="s">
        <v>381</v>
      </c>
      <c r="C9" s="99" t="s">
        <v>382</v>
      </c>
      <c r="D9" s="98" t="str">
        <f>D8</f>
        <v>Licencia Visual Studio 2022 Enterprise</v>
      </c>
      <c r="E9" s="100">
        <v>778741.0</v>
      </c>
      <c r="F9" s="101">
        <f t="shared" si="1"/>
        <v>926701.79</v>
      </c>
      <c r="G9" s="35">
        <f t="shared" si="2"/>
        <v>437.2930231</v>
      </c>
      <c r="H9" s="102">
        <f t="shared" si="3"/>
        <v>1705442.79</v>
      </c>
      <c r="I9" s="103" t="s">
        <v>61</v>
      </c>
      <c r="J9" s="104" t="s">
        <v>383</v>
      </c>
    </row>
    <row r="10" ht="50.25" customHeight="1">
      <c r="A10" s="55" t="s">
        <v>23</v>
      </c>
      <c r="B10" s="103" t="s">
        <v>384</v>
      </c>
      <c r="C10" s="81" t="s">
        <v>385</v>
      </c>
      <c r="D10" s="105" t="s">
        <v>386</v>
      </c>
      <c r="E10" s="100">
        <v>778741.0</v>
      </c>
      <c r="F10" s="101">
        <f t="shared" si="1"/>
        <v>926701.79</v>
      </c>
      <c r="G10" s="35">
        <f t="shared" si="2"/>
        <v>437.2930231</v>
      </c>
      <c r="H10" s="102">
        <f t="shared" si="3"/>
        <v>1705442.79</v>
      </c>
      <c r="I10" s="103" t="s">
        <v>61</v>
      </c>
      <c r="J10" s="104" t="s">
        <v>383</v>
      </c>
    </row>
    <row r="11" ht="15.0" hidden="1" customHeight="1">
      <c r="A11" s="25"/>
      <c r="B11" s="59"/>
      <c r="C11" s="59"/>
      <c r="D11" s="59"/>
      <c r="E11" s="59"/>
      <c r="F11" s="59"/>
      <c r="G11" s="59"/>
      <c r="H11" s="59"/>
      <c r="I11" s="59"/>
      <c r="J11" s="59"/>
    </row>
    <row r="12" ht="12.75" customHeight="1"/>
    <row r="13" ht="138.75" customHeight="1">
      <c r="A13" s="27" t="s">
        <v>387</v>
      </c>
      <c r="B13" s="4"/>
      <c r="C13" s="4"/>
      <c r="D13" s="4"/>
      <c r="E13" s="4"/>
      <c r="F13" s="4"/>
      <c r="G13" s="4"/>
      <c r="H13" s="4"/>
      <c r="I13" s="4"/>
      <c r="J13" s="5"/>
    </row>
    <row r="14" ht="12.75" customHeight="1"/>
    <row r="15" ht="75.0" customHeight="1">
      <c r="A15" s="27" t="s">
        <v>388</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10"/>
  </hyperlinks>
  <printOptions/>
  <pageMargins bottom="0.75" footer="0.0" header="0.0" left="0.7" right="0.7" top="0.75"/>
  <pageSetup orientation="landscape"/>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389</v>
      </c>
      <c r="C7" s="44" t="s">
        <v>390</v>
      </c>
      <c r="D7" s="44" t="s">
        <v>391</v>
      </c>
      <c r="E7" s="44" t="s">
        <v>392</v>
      </c>
      <c r="F7" s="45" t="s">
        <v>393</v>
      </c>
      <c r="G7" s="46" t="s">
        <v>394</v>
      </c>
      <c r="H7" s="44" t="s">
        <v>9</v>
      </c>
      <c r="I7" s="44" t="s">
        <v>395</v>
      </c>
      <c r="J7" s="44" t="s">
        <v>396</v>
      </c>
      <c r="K7" s="10"/>
      <c r="L7" s="10"/>
      <c r="M7" s="10"/>
      <c r="N7" s="10"/>
      <c r="O7" s="10"/>
      <c r="P7" s="10"/>
      <c r="Q7" s="10"/>
      <c r="R7" s="10"/>
      <c r="S7" s="10"/>
      <c r="T7" s="10"/>
      <c r="U7" s="10"/>
      <c r="V7" s="10"/>
      <c r="W7" s="10"/>
      <c r="X7" s="10"/>
      <c r="Y7" s="10"/>
      <c r="Z7" s="10"/>
    </row>
    <row r="8" ht="50.25" customHeight="1">
      <c r="A8" s="55" t="s">
        <v>12</v>
      </c>
      <c r="B8" s="106" t="s">
        <v>397</v>
      </c>
      <c r="C8" s="107">
        <v>3.232540225E9</v>
      </c>
      <c r="D8" s="108" t="s">
        <v>398</v>
      </c>
      <c r="E8" s="109">
        <v>787426.0</v>
      </c>
      <c r="F8" s="109">
        <f t="shared" ref="F8:F10" si="1">E8*1.19</f>
        <v>937036.94</v>
      </c>
      <c r="G8" s="110">
        <f t="shared" ref="G8:G10" si="2">(F8+E8)/3900</f>
        <v>442.1699846</v>
      </c>
      <c r="H8" s="95">
        <f t="shared" ref="H8:H10" si="3">G8*3900</f>
        <v>1724462.94</v>
      </c>
      <c r="I8" s="106" t="s">
        <v>16</v>
      </c>
      <c r="J8" s="106"/>
    </row>
    <row r="9" ht="50.25" customHeight="1">
      <c r="A9" s="55" t="s">
        <v>18</v>
      </c>
      <c r="B9" s="106" t="s">
        <v>399</v>
      </c>
      <c r="C9" s="108" t="s">
        <v>400</v>
      </c>
      <c r="D9" s="106" t="str">
        <f>D8</f>
        <v>Licencia Windows 11 Pro ESD Vitalicia
</v>
      </c>
      <c r="E9" s="109">
        <v>430000.0</v>
      </c>
      <c r="F9" s="109">
        <f t="shared" si="1"/>
        <v>511700</v>
      </c>
      <c r="G9" s="110">
        <f t="shared" si="2"/>
        <v>241.4615385</v>
      </c>
      <c r="H9" s="95">
        <f t="shared" si="3"/>
        <v>941700</v>
      </c>
      <c r="I9" s="106" t="s">
        <v>16</v>
      </c>
      <c r="J9" s="106"/>
    </row>
    <row r="10" ht="50.25" customHeight="1">
      <c r="A10" s="55" t="s">
        <v>23</v>
      </c>
      <c r="B10" s="106" t="s">
        <v>401</v>
      </c>
      <c r="C10" s="111" t="s">
        <v>402</v>
      </c>
      <c r="D10" s="108" t="s">
        <v>403</v>
      </c>
      <c r="E10" s="109">
        <v>537534.0</v>
      </c>
      <c r="F10" s="109">
        <f t="shared" si="1"/>
        <v>639665.46</v>
      </c>
      <c r="G10" s="110">
        <f t="shared" si="2"/>
        <v>301.8460154</v>
      </c>
      <c r="H10" s="95">
        <f t="shared" si="3"/>
        <v>1177199.46</v>
      </c>
      <c r="I10" s="106" t="s">
        <v>16</v>
      </c>
      <c r="J10" s="106" t="s">
        <v>404</v>
      </c>
    </row>
    <row r="11" ht="15.0" hidden="1" customHeight="1">
      <c r="A11" s="25"/>
      <c r="B11" s="59"/>
      <c r="C11" s="59"/>
      <c r="D11" s="59"/>
      <c r="E11" s="59"/>
      <c r="F11" s="59"/>
      <c r="G11" s="59"/>
      <c r="H11" s="59"/>
      <c r="I11" s="59"/>
      <c r="J11" s="59"/>
    </row>
    <row r="12" ht="12.75" customHeight="1"/>
    <row r="13" ht="138.75" customHeight="1">
      <c r="A13" s="27" t="s">
        <v>405</v>
      </c>
      <c r="B13" s="4"/>
      <c r="C13" s="4"/>
      <c r="D13" s="4"/>
      <c r="E13" s="4"/>
      <c r="F13" s="4"/>
      <c r="G13" s="4"/>
      <c r="H13" s="4"/>
      <c r="I13" s="4"/>
      <c r="J13" s="5"/>
    </row>
    <row r="14" ht="12.75" customHeight="1"/>
    <row r="15" ht="75.0" customHeight="1">
      <c r="A15" s="27" t="s">
        <v>406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10"/>
  </hyperlinks>
  <printOptions/>
  <pageMargins bottom="0.75" footer="0.0" header="0.0" left="0.7" right="0.7" top="0.75"/>
  <pageSetup orientation="landscape"/>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407</v>
      </c>
      <c r="C7" s="44" t="s">
        <v>408</v>
      </c>
      <c r="D7" s="44" t="s">
        <v>409</v>
      </c>
      <c r="E7" s="44" t="s">
        <v>410</v>
      </c>
      <c r="F7" s="45" t="s">
        <v>411</v>
      </c>
      <c r="G7" s="46" t="s">
        <v>412</v>
      </c>
      <c r="H7" s="44" t="s">
        <v>9</v>
      </c>
      <c r="I7" s="44" t="s">
        <v>413</v>
      </c>
      <c r="J7" s="44" t="s">
        <v>414</v>
      </c>
      <c r="K7" s="10"/>
      <c r="L7" s="10"/>
      <c r="M7" s="10"/>
      <c r="N7" s="10"/>
      <c r="O7" s="10"/>
      <c r="P7" s="10"/>
      <c r="Q7" s="10"/>
      <c r="R7" s="10"/>
      <c r="S7" s="10"/>
      <c r="T7" s="10"/>
      <c r="U7" s="10"/>
      <c r="V7" s="10"/>
      <c r="W7" s="10"/>
      <c r="X7" s="10"/>
      <c r="Y7" s="10"/>
      <c r="Z7" s="10"/>
    </row>
    <row r="8" ht="50.25" customHeight="1">
      <c r="A8" s="55" t="s">
        <v>12</v>
      </c>
      <c r="B8" s="98" t="s">
        <v>415</v>
      </c>
      <c r="C8" s="98">
        <v>3.232540225E9</v>
      </c>
      <c r="D8" s="99" t="s">
        <v>416</v>
      </c>
      <c r="E8" s="112">
        <v>265131.0</v>
      </c>
      <c r="F8" s="112">
        <f t="shared" ref="F8:F10" si="1">E8*1.19</f>
        <v>315505.89</v>
      </c>
      <c r="G8" s="35">
        <f t="shared" ref="G8:G10" si="2">(F8+E8)/3900</f>
        <v>148.8812538</v>
      </c>
      <c r="H8" s="113">
        <f t="shared" ref="H8:H10" si="3">G8*3900</f>
        <v>580636.89</v>
      </c>
      <c r="I8" s="80" t="s">
        <v>16</v>
      </c>
      <c r="J8" s="98"/>
    </row>
    <row r="9" ht="50.25" customHeight="1">
      <c r="A9" s="55" t="s">
        <v>18</v>
      </c>
      <c r="B9" s="98" t="s">
        <v>417</v>
      </c>
      <c r="C9" s="99">
        <v>3.003227936E9</v>
      </c>
      <c r="D9" s="98" t="str">
        <f>D8</f>
        <v>Licencia de dispositivo SQL Server 2022 - 1 CAL</v>
      </c>
      <c r="E9" s="112">
        <v>1293600.0</v>
      </c>
      <c r="F9" s="112">
        <f t="shared" si="1"/>
        <v>1539384</v>
      </c>
      <c r="G9" s="35">
        <f t="shared" si="2"/>
        <v>726.4061538</v>
      </c>
      <c r="H9" s="113">
        <f t="shared" si="3"/>
        <v>2832984</v>
      </c>
      <c r="I9" s="80" t="s">
        <v>16</v>
      </c>
      <c r="J9" s="98"/>
    </row>
    <row r="10" ht="50.25" customHeight="1">
      <c r="A10" s="55" t="s">
        <v>23</v>
      </c>
      <c r="B10" s="80" t="s">
        <v>359</v>
      </c>
      <c r="C10" s="81" t="s">
        <v>418</v>
      </c>
      <c r="D10" s="82" t="s">
        <v>419</v>
      </c>
      <c r="E10" s="67">
        <v>3756303.0</v>
      </c>
      <c r="F10" s="112">
        <f t="shared" si="1"/>
        <v>4470000.57</v>
      </c>
      <c r="G10" s="35">
        <f t="shared" si="2"/>
        <v>2109.308608</v>
      </c>
      <c r="H10" s="113">
        <f t="shared" si="3"/>
        <v>8226303.57</v>
      </c>
      <c r="I10" s="80" t="s">
        <v>16</v>
      </c>
      <c r="J10" s="114" t="s">
        <v>419</v>
      </c>
    </row>
    <row r="11" ht="15.0" hidden="1" customHeight="1">
      <c r="A11" s="25"/>
      <c r="B11" s="59"/>
      <c r="C11" s="59"/>
      <c r="D11" s="59"/>
      <c r="E11" s="59"/>
      <c r="F11" s="59"/>
      <c r="G11" s="59"/>
      <c r="H11" s="59"/>
      <c r="I11" s="59"/>
      <c r="J11" s="59"/>
    </row>
    <row r="12" ht="12.75" customHeight="1"/>
    <row r="13" ht="138.75" customHeight="1">
      <c r="A13" s="27" t="s">
        <v>420</v>
      </c>
      <c r="B13" s="4"/>
      <c r="C13" s="4"/>
      <c r="D13" s="4"/>
      <c r="E13" s="4"/>
      <c r="F13" s="4"/>
      <c r="G13" s="4"/>
      <c r="H13" s="4"/>
      <c r="I13" s="4"/>
      <c r="J13" s="5"/>
    </row>
    <row r="14" ht="12.75" customHeight="1"/>
    <row r="15" ht="75.0" customHeight="1">
      <c r="A15" s="27" t="s">
        <v>421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10"/>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