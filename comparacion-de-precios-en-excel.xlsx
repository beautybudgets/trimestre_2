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updateLinks="always" defaultThemeVersion="124226"/>
  <mc:AlternateContent xmlns:mc="http://schemas.openxmlformats.org/markup-compatibility/2006">
    <mc:Choice Requires="x15">
      <x15ac:absPath xmlns:x15ac="http://schemas.microsoft.com/office/spreadsheetml/2010/11/ac" url="C:\Users\yised\Downloads\MATRIZ\"/>
    </mc:Choice>
  </mc:AlternateContent>
  <xr:revisionPtr revIDLastSave="83" documentId="11_CD5DEC4232EBC2351D66475A2715D44980B26BE7" xr6:coauthVersionLast="47" xr6:coauthVersionMax="47" xr10:uidLastSave="{B0B546E2-6C00-8745-A009-8BDE1D1D283B}"/>
  <bookViews>
    <workbookView xWindow="1515" yWindow="1515" windowWidth="21600" windowHeight="11385" firstSheet="1" activeTab="1" xr2:uid="{00000000-000D-0000-FFFF-FFFF00000000}"/>
  </bookViews>
  <sheets>
    <sheet name="- AYUDA -" sheetId="5" r:id="rId1"/>
    <sheet name="Precios " sheetId="10" r:id="rId2"/>
    <sheet name="Precios  (2)" sheetId="11" r:id="rId3"/>
    <sheet name="Soporte" sheetId="8" state="hidden"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0" l="1"/>
  <c r="D9" i="10"/>
  <c r="E9" i="10"/>
  <c r="B9" i="10"/>
  <c r="F21" i="11"/>
  <c r="E21" i="11"/>
  <c r="D21" i="11"/>
  <c r="F20" i="11"/>
  <c r="E20" i="11"/>
  <c r="D20" i="11"/>
  <c r="F19" i="11"/>
  <c r="E19" i="11"/>
  <c r="D19" i="11"/>
  <c r="J19" i="11"/>
  <c r="F18" i="11"/>
  <c r="E18" i="11"/>
  <c r="D18" i="11"/>
  <c r="K18" i="11"/>
  <c r="F17" i="11"/>
  <c r="E17" i="11"/>
  <c r="D17" i="11"/>
  <c r="F16" i="11"/>
  <c r="E16" i="11"/>
  <c r="D16" i="11"/>
  <c r="F15" i="11"/>
  <c r="E15" i="11"/>
  <c r="D15" i="11"/>
  <c r="K15" i="11"/>
  <c r="F14" i="11"/>
  <c r="E14" i="11"/>
  <c r="D14" i="11"/>
  <c r="F13" i="11"/>
  <c r="E13" i="11"/>
  <c r="D13" i="11"/>
  <c r="F12" i="11"/>
  <c r="E12" i="11"/>
  <c r="D12" i="11"/>
  <c r="F11" i="11"/>
  <c r="E11" i="11"/>
  <c r="D11" i="11"/>
  <c r="F9" i="11"/>
  <c r="F10" i="11"/>
  <c r="J23" i="11"/>
  <c r="K24" i="11"/>
  <c r="E10" i="11"/>
  <c r="E9" i="11"/>
  <c r="E25" i="11"/>
  <c r="D9" i="11"/>
  <c r="J9" i="11"/>
  <c r="D10" i="11"/>
  <c r="L18" i="11"/>
  <c r="K22" i="11"/>
  <c r="J10" i="11"/>
  <c r="L17" i="11"/>
  <c r="J18" i="11"/>
  <c r="L13" i="11"/>
  <c r="K17" i="11"/>
  <c r="J21" i="11"/>
  <c r="K23" i="11"/>
  <c r="J11" i="11"/>
  <c r="J14" i="11"/>
  <c r="L22" i="11"/>
  <c r="L23" i="11"/>
  <c r="B21" i="11"/>
  <c r="B20" i="11"/>
  <c r="B19" i="11"/>
  <c r="B18" i="11"/>
  <c r="B17" i="11"/>
  <c r="B16" i="11"/>
  <c r="B15" i="11"/>
  <c r="B14" i="11"/>
  <c r="B13" i="11"/>
  <c r="B12" i="11"/>
  <c r="B11" i="11"/>
  <c r="B10" i="11"/>
  <c r="B9" i="11"/>
  <c r="I25" i="11"/>
  <c r="H25" i="11"/>
  <c r="G25" i="11"/>
  <c r="J22" i="11"/>
  <c r="K21" i="11"/>
  <c r="K19" i="11"/>
  <c r="L14" i="11"/>
  <c r="K13" i="11"/>
  <c r="L10" i="11"/>
  <c r="K9" i="11"/>
  <c r="I26" i="10"/>
  <c r="H26" i="10"/>
  <c r="G26" i="10"/>
  <c r="L25" i="10"/>
  <c r="K25" i="10"/>
  <c r="J25" i="10"/>
  <c r="L24" i="10"/>
  <c r="K24" i="10"/>
  <c r="J24" i="10"/>
  <c r="L23" i="10"/>
  <c r="K23" i="10"/>
  <c r="J23" i="10"/>
  <c r="L22" i="10"/>
  <c r="K22" i="10"/>
  <c r="J22" i="10"/>
  <c r="L21" i="10"/>
  <c r="K21" i="10"/>
  <c r="J21" i="10"/>
  <c r="L20" i="10"/>
  <c r="K20" i="10"/>
  <c r="J20" i="10"/>
  <c r="L19" i="10"/>
  <c r="K19" i="10"/>
  <c r="J19" i="10"/>
  <c r="F18" i="10"/>
  <c r="E18" i="10"/>
  <c r="D18" i="10"/>
  <c r="B18" i="10"/>
  <c r="F17" i="10"/>
  <c r="E17" i="10"/>
  <c r="D17" i="10"/>
  <c r="B17" i="10"/>
  <c r="F16" i="10"/>
  <c r="E16" i="10"/>
  <c r="D16" i="10"/>
  <c r="L16" i="10"/>
  <c r="B16" i="10"/>
  <c r="F15" i="10"/>
  <c r="E15" i="10"/>
  <c r="D15" i="10"/>
  <c r="L15" i="10"/>
  <c r="B15" i="10"/>
  <c r="F14" i="10"/>
  <c r="E14" i="10"/>
  <c r="D14" i="10"/>
  <c r="K14" i="10"/>
  <c r="B14" i="10"/>
  <c r="F13" i="10"/>
  <c r="E13" i="10"/>
  <c r="D13" i="10"/>
  <c r="J13" i="10"/>
  <c r="B13" i="10"/>
  <c r="F12" i="10"/>
  <c r="E12" i="10"/>
  <c r="D12" i="10"/>
  <c r="L12" i="10"/>
  <c r="B12" i="10"/>
  <c r="F11" i="10"/>
  <c r="E11" i="10"/>
  <c r="D11" i="10"/>
  <c r="L11" i="10"/>
  <c r="B11" i="10"/>
  <c r="F10" i="10"/>
  <c r="E10" i="10"/>
  <c r="E26" i="10"/>
  <c r="D10" i="10"/>
  <c r="B10" i="10"/>
  <c r="K10" i="10"/>
  <c r="D26" i="10"/>
  <c r="L18" i="10"/>
  <c r="J9" i="10"/>
  <c r="L9" i="10"/>
  <c r="K9" i="10"/>
  <c r="J16" i="10"/>
  <c r="F26" i="10"/>
  <c r="J14" i="10"/>
  <c r="J17" i="10"/>
  <c r="K18" i="10"/>
  <c r="J12" i="10"/>
  <c r="J15" i="10"/>
  <c r="J18" i="10"/>
  <c r="J15" i="11"/>
  <c r="J20" i="11"/>
  <c r="J16" i="11"/>
  <c r="J12" i="11"/>
  <c r="L19" i="11"/>
  <c r="L21" i="11"/>
  <c r="K20" i="11"/>
  <c r="J24" i="11"/>
  <c r="K11" i="11"/>
  <c r="L20" i="11"/>
  <c r="L24" i="11"/>
  <c r="F25" i="11"/>
  <c r="L12" i="11"/>
  <c r="K10" i="11"/>
  <c r="L11" i="11"/>
  <c r="J13" i="11"/>
  <c r="K14" i="11"/>
  <c r="L15" i="11"/>
  <c r="J17" i="11"/>
  <c r="D25" i="11"/>
  <c r="L9" i="11"/>
  <c r="K12" i="11"/>
  <c r="K16" i="11"/>
  <c r="L16" i="11"/>
  <c r="L14" i="10"/>
  <c r="K17" i="10"/>
  <c r="J11" i="10"/>
  <c r="K12" i="10"/>
  <c r="K11" i="10"/>
  <c r="L10" i="10"/>
  <c r="K13" i="10"/>
  <c r="L13" i="10"/>
  <c r="K16" i="10"/>
  <c r="L17" i="10"/>
  <c r="J10" i="10"/>
  <c r="K15" i="10"/>
</calcChain>
</file>

<file path=xl/sharedStrings.xml><?xml version="1.0" encoding="utf-8"?>
<sst xmlns="http://schemas.openxmlformats.org/spreadsheetml/2006/main" count="78" uniqueCount="46">
  <si>
    <t>Ayuda</t>
  </si>
  <si>
    <t>Comparación de Precios entre diferentes proveedores</t>
  </si>
  <si>
    <t>Ingresa en la tabla los productos, los proveedores y sus precios</t>
  </si>
  <si>
    <t>ESTADÍSTICAS POR PRODUCTO</t>
  </si>
  <si>
    <t>PRODUCTO</t>
  </si>
  <si>
    <t>CANTIDAD</t>
  </si>
  <si>
    <t>PROVEEDOR 1</t>
  </si>
  <si>
    <t>PROVEEDOR 2</t>
  </si>
  <si>
    <t>PROVEEDOR 3</t>
  </si>
  <si>
    <t>PROVEEDOR 4</t>
  </si>
  <si>
    <t>PROVEEDOR 5</t>
  </si>
  <si>
    <t>PROVEEDOR 6</t>
  </si>
  <si>
    <t>PRECIO MÁS BAJO</t>
  </si>
  <si>
    <t>PRECIO PROMEDIO</t>
  </si>
  <si>
    <t>PRECIO MÁS ALTO</t>
  </si>
  <si>
    <t>Total</t>
  </si>
  <si>
    <t>DATOS ADICIONALES</t>
  </si>
  <si>
    <t>TIEMPO DE ENTREGA (DÍAS)</t>
  </si>
  <si>
    <t>Horas de dia los 7 dias de la semana</t>
  </si>
  <si>
    <t>de 3 a 5 minutos</t>
  </si>
  <si>
    <t>3 a 10 dias habiles</t>
  </si>
  <si>
    <t>entrega de 2  dias habiles</t>
  </si>
  <si>
    <t>1 a 5 dias habiles</t>
  </si>
  <si>
    <t>5 dias laborales</t>
  </si>
  <si>
    <t>COSTO DE ENVÍO</t>
  </si>
  <si>
    <t>$ 7.055</t>
  </si>
  <si>
    <t>$287.497</t>
  </si>
  <si>
    <t>$295.39</t>
  </si>
  <si>
    <t>FORMAS DE PAGO</t>
  </si>
  <si>
    <t>contado</t>
  </si>
  <si>
    <t>Almendras</t>
  </si>
  <si>
    <t>Nueces</t>
  </si>
  <si>
    <t>Pistachos</t>
  </si>
  <si>
    <t>Pecán</t>
  </si>
  <si>
    <t>Bananas</t>
  </si>
  <si>
    <t>Pasas</t>
  </si>
  <si>
    <t>Gratis</t>
  </si>
  <si>
    <t>Efvo</t>
  </si>
  <si>
    <t>Mercado Pago</t>
  </si>
  <si>
    <t>Efectivo</t>
  </si>
  <si>
    <t xml:space="preserve">Tarjeta </t>
  </si>
  <si>
    <t>Tarjeta cuotas</t>
  </si>
  <si>
    <t>Piñones</t>
  </si>
  <si>
    <t>Cranberries</t>
  </si>
  <si>
    <t>Castañas</t>
  </si>
  <si>
    <t>China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</si>
</sst>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Red]\-&quot;$&quot;\ #,##0.00"/>
    <numFmt numFmtId="165" formatCode="&quot;$&quot;\ #,##0.00"/>
  </numFmts>
  <fonts count="20" x14ac:knownFonts="1">
    <font>
      <sz val="8"/>
      <color theme="1"/>
      <name val="Arial"/>
      <family val="2"/>
    </font>
    <font>
      <sz val="11"/>
      <color theme="1"/>
      <name val="Calibri"/>
      <family val="2"/>
      <scheme val="minor"/>
    </font>
    <font>
      <sz val="10"/>
      <color theme="1"/>
      <name val="Calibri"/>
      <family val="2"/>
      <scheme val="minor"/>
    </font>
    <font>
      <sz val="10"/>
      <color rgb="FFFF0000"/>
      <name val="Calibri"/>
      <family val="2"/>
      <scheme val="minor"/>
    </font>
    <font>
      <sz val="20"/>
      <color theme="1"/>
      <name val="Calibri"/>
      <family val="2"/>
      <scheme val="minor"/>
    </font>
    <font>
      <sz val="12"/>
      <color theme="1"/>
      <name val="Calibri"/>
      <family val="2"/>
      <scheme val="minor"/>
    </font>
    <font>
      <b/>
      <sz val="14"/>
      <color theme="0"/>
      <name val="Calibri"/>
      <family val="2"/>
      <scheme val="minor"/>
    </font>
    <font>
      <b/>
      <sz val="14"/>
      <color rgb="FF8745EC"/>
      <name val="Calibri"/>
      <family val="2"/>
      <scheme val="minor"/>
    </font>
    <font>
      <b/>
      <sz val="14"/>
      <color theme="0" tint="-0.499984740745262"/>
      <name val="Calibri"/>
      <family val="2"/>
      <scheme val="minor"/>
    </font>
    <font>
      <sz val="14"/>
      <color theme="1" tint="0.34998626667073579"/>
      <name val="Calibri"/>
      <family val="2"/>
      <scheme val="minor"/>
    </font>
    <font>
      <b/>
      <sz val="14"/>
      <color theme="1" tint="0.34998626667073579"/>
      <name val="Calibri"/>
      <family val="2"/>
      <scheme val="minor"/>
    </font>
    <font>
      <b/>
      <sz val="22"/>
      <color theme="1" tint="0.249977111117893"/>
      <name val="Calibri"/>
      <family val="2"/>
      <scheme val="minor"/>
    </font>
    <font>
      <sz val="16"/>
      <color theme="0" tint="-0.499984740745262"/>
      <name val="Calibri"/>
      <family val="2"/>
      <scheme val="minor"/>
    </font>
    <font>
      <sz val="11"/>
      <color rgb="FF000000"/>
      <name val="Arial"/>
      <family val="2"/>
    </font>
    <font>
      <sz val="13.95"/>
      <color rgb="FF595959"/>
      <name val="Calibri"/>
      <family val="2"/>
    </font>
    <font>
      <sz val="14"/>
      <color theme="1" tint="0.34998626667073579"/>
      <name val="Calibri"/>
      <scheme val="minor"/>
    </font>
    <font>
      <b/>
      <sz val="14"/>
      <color theme="1" tint="0.34998626667073579"/>
      <name val="Calibri"/>
      <scheme val="minor"/>
    </font>
    <font>
      <sz val="18"/>
      <color rgb="FF000000"/>
      <name val="Proxima Nova"/>
    </font>
    <font>
      <sz val="8"/>
      <color rgb="FF595959"/>
      <name val="Calibri"/>
      <scheme val="minor"/>
    </font>
    <font>
      <sz val="11"/>
      <color rgb="FF4D5156"/>
      <name val="Arial"/>
      <family val="2"/>
      <charset val="1"/>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8F3FF"/>
        <bgColor indexed="64"/>
      </patternFill>
    </fill>
    <fill>
      <patternFill patternType="solid">
        <fgColor rgb="FF8745EC"/>
        <bgColor indexed="64"/>
      </patternFill>
    </fill>
    <fill>
      <patternFill patternType="solid">
        <fgColor rgb="FFFFFFFF"/>
        <bgColor indexed="64"/>
      </patternFill>
    </fill>
  </fills>
  <borders count="41">
    <border>
      <left/>
      <right/>
      <top/>
      <bottom/>
      <diagonal/>
    </border>
    <border>
      <left style="thin">
        <color theme="0"/>
      </left>
      <right style="thin">
        <color theme="0"/>
      </right>
      <top style="thin">
        <color theme="0"/>
      </top>
      <bottom style="thin">
        <color theme="0"/>
      </bottom>
      <diagonal/>
    </border>
    <border>
      <left/>
      <right/>
      <top/>
      <bottom style="medium">
        <color theme="0" tint="-4.9989318521683403E-2"/>
      </bottom>
      <diagonal/>
    </border>
    <border>
      <left/>
      <right/>
      <top/>
      <bottom style="thin">
        <color theme="0"/>
      </bottom>
      <diagonal/>
    </border>
    <border>
      <left style="medium">
        <color rgb="FF8745EC"/>
      </left>
      <right style="thin">
        <color theme="0"/>
      </right>
      <top style="thin">
        <color theme="0"/>
      </top>
      <bottom style="thin">
        <color theme="0"/>
      </bottom>
      <diagonal/>
    </border>
    <border>
      <left style="thin">
        <color theme="0"/>
      </left>
      <right style="medium">
        <color rgb="FF8745EC"/>
      </right>
      <top style="thin">
        <color theme="0"/>
      </top>
      <bottom style="thin">
        <color theme="0"/>
      </bottom>
      <diagonal/>
    </border>
    <border>
      <left style="medium">
        <color rgb="FF8745EC"/>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theme="0" tint="-0.34998626667073579"/>
      </left>
      <right style="thin">
        <color theme="0" tint="-0.34998626667073579"/>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499984740745262"/>
      </top>
      <bottom style="dashed">
        <color theme="0" tint="-0.34998626667073579"/>
      </bottom>
      <diagonal/>
    </border>
    <border>
      <left style="thin">
        <color theme="0" tint="-0.34998626667073579"/>
      </left>
      <right style="thin">
        <color theme="0" tint="-0.34998626667073579"/>
      </right>
      <top style="dashed">
        <color theme="0" tint="-0.34998626667073579"/>
      </top>
      <bottom style="dashed">
        <color theme="0" tint="-0.34998626667073579"/>
      </bottom>
      <diagonal/>
    </border>
    <border>
      <left style="thin">
        <color theme="0" tint="-0.34998626667073579"/>
      </left>
      <right style="thin">
        <color theme="0" tint="-0.34998626667073579"/>
      </right>
      <top style="dashed">
        <color theme="0" tint="-0.34998626667073579"/>
      </top>
      <bottom style="thin">
        <color theme="0" tint="-0.499984740745262"/>
      </bottom>
      <diagonal/>
    </border>
    <border>
      <left style="thin">
        <color theme="0"/>
      </left>
      <right style="thin">
        <color theme="0"/>
      </right>
      <top style="thin">
        <color theme="0"/>
      </top>
      <bottom/>
      <diagonal/>
    </border>
    <border>
      <left style="thin">
        <color theme="0"/>
      </left>
      <right style="medium">
        <color rgb="FF8745EC"/>
      </right>
      <top style="thin">
        <color theme="0"/>
      </top>
      <bottom/>
      <diagonal/>
    </border>
    <border>
      <left/>
      <right style="thin">
        <color rgb="FFFFFF66"/>
      </right>
      <top/>
      <bottom/>
      <diagonal/>
    </border>
    <border>
      <left style="thin">
        <color rgb="FFFFFF66"/>
      </left>
      <right style="thin">
        <color rgb="FFFFFF66"/>
      </right>
      <top style="thin">
        <color rgb="FFFFFFFF"/>
      </top>
      <bottom style="thin">
        <color rgb="FFF2F2F2"/>
      </bottom>
      <diagonal/>
    </border>
    <border>
      <left style="thin">
        <color rgb="FFFFFF66"/>
      </left>
      <right/>
      <top/>
      <bottom/>
      <diagonal/>
    </border>
    <border>
      <left style="thin">
        <color rgb="FFFFFF66"/>
      </left>
      <right style="thin">
        <color rgb="FFFFFF66"/>
      </right>
      <top style="thin">
        <color rgb="FFF2F2F2"/>
      </top>
      <bottom style="thin">
        <color rgb="FFF2F2F2"/>
      </bottom>
      <diagonal/>
    </border>
    <border>
      <left/>
      <right/>
      <top style="slantDashDot">
        <color theme="0" tint="-4.9989318521683403E-2"/>
      </top>
      <bottom style="medium">
        <color theme="0" tint="-4.9989318521683403E-2"/>
      </bottom>
      <diagonal/>
    </border>
    <border>
      <left style="medium">
        <color rgb="FF8745EC"/>
      </left>
      <right/>
      <top/>
      <bottom/>
      <diagonal/>
    </border>
    <border>
      <left/>
      <right style="medium">
        <color theme="0"/>
      </right>
      <top/>
      <bottom/>
      <diagonal/>
    </border>
    <border>
      <left style="thin">
        <color theme="0"/>
      </left>
      <right/>
      <top style="thin">
        <color theme="0"/>
      </top>
      <bottom style="thin">
        <color theme="0"/>
      </bottom>
      <diagonal/>
    </border>
    <border>
      <left style="thin">
        <color theme="1" tint="0.499984740745262"/>
      </left>
      <right style="thin">
        <color theme="0" tint="-0.34998626667073579"/>
      </right>
      <top style="thin">
        <color theme="0" tint="-0.499984740745262"/>
      </top>
      <bottom style="thin">
        <color theme="0" tint="-0.499984740745262"/>
      </bottom>
      <diagonal/>
    </border>
    <border>
      <left/>
      <right/>
      <top style="thin">
        <color theme="0"/>
      </top>
      <bottom style="thin">
        <color theme="0"/>
      </bottom>
      <diagonal/>
    </border>
    <border>
      <left style="thin">
        <color theme="1" tint="0.499984740745262"/>
      </left>
      <right style="thin">
        <color theme="0" tint="-0.34998626667073579"/>
      </right>
      <top style="thin">
        <color theme="0" tint="-0.499984740745262"/>
      </top>
      <bottom style="dashed">
        <color theme="0" tint="-0.34998626667073579"/>
      </bottom>
      <diagonal/>
    </border>
    <border>
      <left style="thin">
        <color theme="1" tint="0.499984740745262"/>
      </left>
      <right style="thin">
        <color theme="0" tint="-0.34998626667073579"/>
      </right>
      <top style="dashed">
        <color theme="0" tint="-0.34998626667073579"/>
      </top>
      <bottom style="dashed">
        <color theme="0" tint="-0.34998626667073579"/>
      </bottom>
      <diagonal/>
    </border>
    <border>
      <left style="thin">
        <color theme="1" tint="0.499984740745262"/>
      </left>
      <right style="thin">
        <color theme="0" tint="-0.34998626667073579"/>
      </right>
      <top style="dashed">
        <color theme="0" tint="-0.34998626667073579"/>
      </top>
      <bottom style="thin">
        <color theme="0" tint="-0.499984740745262"/>
      </bottom>
      <diagonal/>
    </border>
    <border>
      <left/>
      <right/>
      <top/>
      <bottom style="thin">
        <color rgb="FFF2F2F2"/>
      </bottom>
      <diagonal/>
    </border>
    <border>
      <left/>
      <right/>
      <top style="thin">
        <color rgb="FFF2F2F2"/>
      </top>
      <bottom style="thin">
        <color rgb="FFF2F2F2"/>
      </bottom>
      <diagonal/>
    </border>
    <border>
      <left style="medium">
        <color rgb="FF8745EC"/>
      </left>
      <right/>
      <top style="medium">
        <color rgb="FF8745EC"/>
      </top>
      <bottom style="thin">
        <color theme="0"/>
      </bottom>
      <diagonal/>
    </border>
    <border>
      <left/>
      <right/>
      <top style="medium">
        <color rgb="FF8745EC"/>
      </top>
      <bottom style="thin">
        <color theme="0"/>
      </bottom>
      <diagonal/>
    </border>
    <border>
      <left/>
      <right style="medium">
        <color rgb="FF8745EC"/>
      </right>
      <top style="medium">
        <color rgb="FF8745EC"/>
      </top>
      <bottom style="thin">
        <color theme="0"/>
      </bottom>
      <diagonal/>
    </border>
    <border>
      <left/>
      <right style="thin">
        <color theme="0"/>
      </right>
      <top style="thin">
        <color theme="0"/>
      </top>
      <bottom style="thin">
        <color theme="0"/>
      </bottom>
      <diagonal/>
    </border>
    <border>
      <left style="thin">
        <color theme="1" tint="0.499984740745262"/>
      </left>
      <right style="thin">
        <color theme="0" tint="-0.34998626667073579"/>
      </right>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right style="thin">
        <color theme="0" tint="-0.34998626667073579"/>
      </right>
      <top style="dashed">
        <color theme="0" tint="-0.34998626667073579"/>
      </top>
      <bottom style="thin">
        <color theme="0" tint="-0.499984740745262"/>
      </bottom>
      <diagonal/>
    </border>
    <border>
      <left style="thin">
        <color theme="1" tint="0.499984740745262"/>
      </left>
      <right style="thin">
        <color theme="0" tint="-0.34998626667073579"/>
      </right>
      <top style="dashed">
        <color theme="0" tint="-0.34998626667073579"/>
      </top>
      <bottom/>
      <diagonal/>
    </border>
    <border>
      <left style="thin">
        <color theme="0" tint="-0.34998626667073579"/>
      </left>
      <right/>
      <top style="thin">
        <color theme="0" tint="-0.499984740745262"/>
      </top>
      <bottom style="thin">
        <color theme="0" tint="-0.499984740745262"/>
      </bottom>
      <diagonal/>
    </border>
    <border>
      <left style="thin">
        <color theme="0" tint="-0.34998626667073579"/>
      </left>
      <right style="thin">
        <color theme="0" tint="-0.34998626667073579"/>
      </right>
      <top/>
      <bottom style="thin">
        <color theme="0" tint="-0.499984740745262"/>
      </bottom>
      <diagonal/>
    </border>
  </borders>
  <cellStyleXfs count="3">
    <xf numFmtId="0" fontId="0" fillId="0" borderId="0"/>
    <xf numFmtId="0" fontId="1" fillId="0" borderId="0"/>
    <xf numFmtId="0" fontId="5" fillId="0" borderId="0"/>
  </cellStyleXfs>
  <cellXfs count="83">
    <xf numFmtId="0" fontId="0" fillId="0" borderId="0" xfId="0"/>
    <xf numFmtId="0" fontId="2" fillId="2" borderId="0" xfId="0" applyFont="1" applyFill="1"/>
    <xf numFmtId="0" fontId="3" fillId="0" borderId="0" xfId="0" applyFont="1"/>
    <xf numFmtId="0" fontId="2" fillId="0" borderId="0" xfId="0" applyFont="1"/>
    <xf numFmtId="0" fontId="4" fillId="2" borderId="0" xfId="0" applyFont="1" applyFill="1" applyAlignment="1">
      <alignment vertical="center"/>
    </xf>
    <xf numFmtId="0" fontId="0" fillId="5" borderId="0" xfId="0" applyFill="1"/>
    <xf numFmtId="0" fontId="5" fillId="2" borderId="0" xfId="0" applyFont="1" applyFill="1" applyAlignment="1">
      <alignment horizontal="center"/>
    </xf>
    <xf numFmtId="0" fontId="5" fillId="2" borderId="0" xfId="0" applyFont="1" applyFill="1"/>
    <xf numFmtId="165" fontId="8" fillId="3" borderId="1" xfId="0" applyNumberFormat="1" applyFont="1" applyFill="1" applyBorder="1" applyAlignment="1">
      <alignment horizontal="center"/>
    </xf>
    <xf numFmtId="165" fontId="9" fillId="0" borderId="2" xfId="0" applyNumberFormat="1" applyFont="1" applyBorder="1" applyAlignment="1">
      <alignment horizontal="center" vertical="center"/>
    </xf>
    <xf numFmtId="0" fontId="6" fillId="5" borderId="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165" fontId="8" fillId="3" borderId="4" xfId="0" applyNumberFormat="1" applyFont="1" applyFill="1" applyBorder="1" applyAlignment="1">
      <alignment horizontal="center"/>
    </xf>
    <xf numFmtId="165" fontId="8" fillId="3" borderId="5" xfId="0" applyNumberFormat="1" applyFont="1" applyFill="1" applyBorder="1" applyAlignment="1">
      <alignment horizontal="center"/>
    </xf>
    <xf numFmtId="0" fontId="9" fillId="0" borderId="9" xfId="0" applyFont="1" applyBorder="1" applyAlignment="1">
      <alignment horizontal="center" vertical="center"/>
    </xf>
    <xf numFmtId="0" fontId="11" fillId="0" borderId="0" xfId="0" applyFont="1" applyAlignment="1">
      <alignment vertical="center"/>
    </xf>
    <xf numFmtId="0" fontId="12" fillId="0" borderId="0" xfId="0" applyFont="1" applyAlignment="1">
      <alignment vertical="top"/>
    </xf>
    <xf numFmtId="0" fontId="5" fillId="0" borderId="0" xfId="2"/>
    <xf numFmtId="0" fontId="11" fillId="0" borderId="0" xfId="2" applyFont="1" applyAlignment="1">
      <alignment vertical="center"/>
    </xf>
    <xf numFmtId="0" fontId="11" fillId="0" borderId="0" xfId="2" applyFont="1" applyAlignment="1">
      <alignment vertical="top"/>
    </xf>
    <xf numFmtId="0" fontId="7" fillId="0" borderId="8" xfId="0" applyFont="1" applyBorder="1" applyAlignment="1">
      <alignment horizontal="left" vertical="center" wrapText="1" indent="1"/>
    </xf>
    <xf numFmtId="165" fontId="9" fillId="0" borderId="9" xfId="0" applyNumberFormat="1" applyFont="1" applyBorder="1" applyAlignment="1">
      <alignment horizontal="center" vertical="center"/>
    </xf>
    <xf numFmtId="165" fontId="9" fillId="0" borderId="10" xfId="0" applyNumberFormat="1" applyFont="1" applyBorder="1" applyAlignment="1">
      <alignment horizontal="center" vertical="center"/>
    </xf>
    <xf numFmtId="0" fontId="9" fillId="0" borderId="11" xfId="0" applyFont="1" applyBorder="1" applyAlignment="1">
      <alignment horizontal="center" vertical="center"/>
    </xf>
    <xf numFmtId="4" fontId="10" fillId="0" borderId="11" xfId="0" applyNumberFormat="1" applyFont="1" applyBorder="1" applyAlignment="1">
      <alignment horizontal="center" vertical="center"/>
    </xf>
    <xf numFmtId="0" fontId="9" fillId="0" borderId="12" xfId="0" applyFont="1" applyBorder="1" applyAlignment="1">
      <alignment horizontal="center" vertical="center"/>
    </xf>
    <xf numFmtId="165" fontId="8" fillId="3" borderId="6" xfId="0" applyNumberFormat="1" applyFont="1" applyFill="1" applyBorder="1" applyAlignment="1">
      <alignment horizontal="center"/>
    </xf>
    <xf numFmtId="165" fontId="8" fillId="3" borderId="13" xfId="0" applyNumberFormat="1" applyFont="1" applyFill="1" applyBorder="1" applyAlignment="1">
      <alignment horizontal="center"/>
    </xf>
    <xf numFmtId="165" fontId="8" fillId="3" borderId="14" xfId="0" applyNumberFormat="1" applyFont="1" applyFill="1" applyBorder="1" applyAlignment="1">
      <alignment horizontal="center"/>
    </xf>
    <xf numFmtId="0" fontId="0" fillId="5" borderId="3" xfId="0" applyFill="1" applyBorder="1"/>
    <xf numFmtId="0" fontId="7" fillId="4" borderId="7" xfId="0" applyFont="1" applyFill="1" applyBorder="1" applyAlignment="1">
      <alignment horizontal="center" vertical="center" wrapText="1"/>
    </xf>
    <xf numFmtId="2" fontId="9" fillId="0" borderId="2" xfId="0" applyNumberFormat="1" applyFont="1" applyBorder="1" applyAlignment="1">
      <alignment horizontal="center" vertical="center"/>
    </xf>
    <xf numFmtId="0" fontId="10" fillId="3" borderId="0" xfId="0" applyFont="1" applyFill="1" applyAlignment="1">
      <alignment horizontal="center" vertical="center"/>
    </xf>
    <xf numFmtId="165" fontId="10" fillId="3" borderId="2" xfId="0" applyNumberFormat="1" applyFont="1" applyFill="1" applyBorder="1" applyAlignment="1">
      <alignment horizontal="center" vertical="center"/>
    </xf>
    <xf numFmtId="0" fontId="8" fillId="0" borderId="0" xfId="0" applyFont="1" applyAlignment="1">
      <alignment horizontal="center"/>
    </xf>
    <xf numFmtId="165" fontId="8" fillId="0" borderId="0" xfId="0" applyNumberFormat="1" applyFont="1" applyAlignment="1">
      <alignment horizontal="center"/>
    </xf>
    <xf numFmtId="164" fontId="13" fillId="0" borderId="0" xfId="0" applyNumberFormat="1" applyFont="1" applyAlignment="1">
      <alignment vertical="center" wrapText="1"/>
    </xf>
    <xf numFmtId="164" fontId="13" fillId="0" borderId="15" xfId="0" applyNumberFormat="1" applyFont="1" applyBorder="1" applyAlignment="1">
      <alignment vertical="center" wrapText="1"/>
    </xf>
    <xf numFmtId="164" fontId="14" fillId="0" borderId="16" xfId="0" applyNumberFormat="1" applyFont="1" applyBorder="1" applyAlignment="1">
      <alignment vertical="center" wrapText="1"/>
    </xf>
    <xf numFmtId="164" fontId="13" fillId="0" borderId="17" xfId="0" applyNumberFormat="1" applyFont="1" applyBorder="1" applyAlignment="1">
      <alignment vertical="center" wrapText="1"/>
    </xf>
    <xf numFmtId="164" fontId="14" fillId="0" borderId="18" xfId="0" applyNumberFormat="1" applyFont="1" applyBorder="1" applyAlignment="1">
      <alignment vertical="center" wrapText="1"/>
    </xf>
    <xf numFmtId="165" fontId="9" fillId="2" borderId="2" xfId="0" applyNumberFormat="1" applyFont="1" applyFill="1" applyBorder="1" applyAlignment="1">
      <alignment horizontal="center" vertical="center"/>
    </xf>
    <xf numFmtId="2" fontId="9" fillId="2" borderId="2" xfId="0" applyNumberFormat="1" applyFont="1" applyFill="1" applyBorder="1" applyAlignment="1">
      <alignment horizontal="center" vertical="center"/>
    </xf>
    <xf numFmtId="165" fontId="9" fillId="2" borderId="0" xfId="0" applyNumberFormat="1" applyFont="1" applyFill="1" applyAlignment="1">
      <alignment horizontal="center" vertical="center"/>
    </xf>
    <xf numFmtId="165" fontId="9" fillId="0" borderId="19" xfId="0" applyNumberFormat="1" applyFont="1" applyBorder="1" applyAlignment="1">
      <alignment horizontal="center" vertical="center"/>
    </xf>
    <xf numFmtId="2" fontId="9" fillId="0" borderId="19" xfId="0" applyNumberFormat="1" applyFont="1" applyBorder="1" applyAlignment="1">
      <alignment horizontal="center" vertical="center"/>
    </xf>
    <xf numFmtId="0" fontId="9" fillId="0" borderId="23" xfId="0" applyFont="1" applyBorder="1" applyAlignment="1">
      <alignment horizontal="center" vertical="center"/>
    </xf>
    <xf numFmtId="165" fontId="9" fillId="0" borderId="23" xfId="0" applyNumberFormat="1" applyFont="1" applyBorder="1" applyAlignment="1">
      <alignment horizontal="center" vertical="center"/>
    </xf>
    <xf numFmtId="165" fontId="9" fillId="0" borderId="25" xfId="0" applyNumberFormat="1" applyFont="1" applyBorder="1" applyAlignment="1">
      <alignment horizontal="center" vertical="center"/>
    </xf>
    <xf numFmtId="0" fontId="9" fillId="0" borderId="26" xfId="0" applyFont="1" applyBorder="1" applyAlignment="1">
      <alignment horizontal="center" vertical="center"/>
    </xf>
    <xf numFmtId="4" fontId="10" fillId="0" borderId="26" xfId="0" applyNumberFormat="1" applyFont="1" applyBorder="1" applyAlignment="1">
      <alignment horizontal="center" vertical="center"/>
    </xf>
    <xf numFmtId="0" fontId="9" fillId="0" borderId="27" xfId="0" applyFont="1" applyBorder="1" applyAlignment="1">
      <alignment horizontal="center" vertical="center"/>
    </xf>
    <xf numFmtId="164" fontId="14" fillId="6" borderId="28" xfId="0" applyNumberFormat="1" applyFont="1" applyFill="1" applyBorder="1" applyAlignment="1">
      <alignment vertical="center" wrapText="1"/>
    </xf>
    <xf numFmtId="164" fontId="14" fillId="6" borderId="29" xfId="0" applyNumberFormat="1" applyFont="1" applyFill="1" applyBorder="1" applyAlignment="1">
      <alignment vertical="center" wrapText="1"/>
    </xf>
    <xf numFmtId="0" fontId="13" fillId="0" borderId="0" xfId="0" applyFont="1"/>
    <xf numFmtId="165" fontId="9" fillId="2" borderId="0" xfId="0" applyNumberFormat="1" applyFont="1" applyFill="1" applyAlignment="1">
      <alignment horizontal="center"/>
    </xf>
    <xf numFmtId="165" fontId="9" fillId="0" borderId="2" xfId="0" applyNumberFormat="1" applyFont="1" applyBorder="1" applyAlignment="1">
      <alignment horizontal="center" vertical="center" wrapText="1"/>
    </xf>
    <xf numFmtId="165" fontId="9" fillId="0" borderId="19" xfId="0" applyNumberFormat="1" applyFont="1" applyBorder="1" applyAlignment="1">
      <alignment horizontal="center" vertical="center" wrapText="1"/>
    </xf>
    <xf numFmtId="165" fontId="9" fillId="2" borderId="2" xfId="0" applyNumberFormat="1" applyFont="1" applyFill="1" applyBorder="1" applyAlignment="1">
      <alignment horizontal="center" vertical="center" wrapText="1"/>
    </xf>
    <xf numFmtId="2" fontId="9" fillId="4" borderId="2" xfId="0" applyNumberFormat="1" applyFont="1" applyFill="1" applyBorder="1" applyAlignment="1">
      <alignment horizontal="center" vertical="center"/>
    </xf>
    <xf numFmtId="165" fontId="9" fillId="4" borderId="2" xfId="0" applyNumberFormat="1" applyFont="1" applyFill="1" applyBorder="1" applyAlignment="1">
      <alignment horizontal="center" vertical="center"/>
    </xf>
    <xf numFmtId="165" fontId="8" fillId="3" borderId="33" xfId="0" applyNumberFormat="1" applyFont="1" applyFill="1" applyBorder="1" applyAlignment="1">
      <alignment horizontal="center"/>
    </xf>
    <xf numFmtId="0" fontId="15" fillId="0" borderId="26" xfId="0" applyFont="1" applyBorder="1" applyAlignment="1">
      <alignment horizontal="center" vertical="center"/>
    </xf>
    <xf numFmtId="4" fontId="16" fillId="0" borderId="26" xfId="0" applyNumberFormat="1" applyFont="1" applyBorder="1" applyAlignment="1">
      <alignment horizontal="center" vertical="center"/>
    </xf>
    <xf numFmtId="165" fontId="9" fillId="0" borderId="34" xfId="0" applyNumberFormat="1" applyFont="1" applyBorder="1" applyAlignment="1">
      <alignment horizontal="center" vertical="center"/>
    </xf>
    <xf numFmtId="0" fontId="9" fillId="0" borderId="35" xfId="0" applyFont="1" applyBorder="1" applyAlignment="1">
      <alignment horizontal="center" vertical="center"/>
    </xf>
    <xf numFmtId="0" fontId="18" fillId="0" borderId="36" xfId="0" applyFont="1" applyBorder="1" applyAlignment="1">
      <alignment horizontal="center" vertical="center"/>
    </xf>
    <xf numFmtId="0" fontId="17" fillId="0" borderId="36" xfId="0" applyFont="1" applyBorder="1" applyAlignment="1">
      <alignment wrapText="1"/>
    </xf>
    <xf numFmtId="0" fontId="9" fillId="0" borderId="37" xfId="0" applyFont="1" applyBorder="1" applyAlignment="1">
      <alignment horizontal="center" vertical="center"/>
    </xf>
    <xf numFmtId="4" fontId="10" fillId="0" borderId="38" xfId="0" applyNumberFormat="1" applyFont="1" applyBorder="1" applyAlignment="1">
      <alignment horizontal="center" vertical="center"/>
    </xf>
    <xf numFmtId="0" fontId="19" fillId="0" borderId="0" xfId="0" applyFont="1"/>
    <xf numFmtId="0" fontId="9" fillId="0" borderId="36" xfId="0" applyFont="1" applyBorder="1" applyAlignment="1">
      <alignment horizontal="center" vertical="center"/>
    </xf>
    <xf numFmtId="0" fontId="9" fillId="0" borderId="39" xfId="0" applyFont="1" applyBorder="1" applyAlignment="1">
      <alignment horizontal="center" vertical="center"/>
    </xf>
    <xf numFmtId="0" fontId="9" fillId="0" borderId="40" xfId="0" applyFont="1" applyBorder="1" applyAlignment="1">
      <alignment horizontal="center" vertical="center"/>
    </xf>
    <xf numFmtId="165" fontId="10" fillId="4" borderId="0" xfId="0" applyNumberFormat="1" applyFont="1" applyFill="1" applyAlignment="1">
      <alignment horizontal="center" vertical="center"/>
    </xf>
    <xf numFmtId="0" fontId="6" fillId="5" borderId="30"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4" xfId="0" applyFont="1" applyFill="1" applyBorder="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57">
    <dxf>
      <border>
        <left style="thin">
          <color rgb="FFFFFF66"/>
        </left>
        <right style="thin">
          <color rgb="FFFFFF66"/>
        </right>
        <vertical/>
        <horizontal/>
      </border>
    </dxf>
    <dxf>
      <border>
        <left style="thin">
          <color rgb="FFFFFF66"/>
        </left>
        <right style="thin">
          <color rgb="FFFFFF66"/>
        </right>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border>
        <left style="thin">
          <color rgb="FFFFFF66"/>
        </left>
        <right style="thin">
          <color rgb="FFFFFF66"/>
        </right>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ont>
        <b/>
        <i val="0"/>
        <strike val="0"/>
        <condense val="0"/>
        <extend val="0"/>
        <outline val="0"/>
        <shadow val="0"/>
        <u val="none"/>
        <vertAlign val="baseline"/>
        <sz val="14"/>
        <color theme="0" tint="-0.499984740745262"/>
        <name val="Calibri"/>
        <family val="2"/>
        <scheme val="minor"/>
      </font>
      <numFmt numFmtId="165" formatCode="&quot;$&quot;\ #,##0.00"/>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medium">
          <color rgb="FF8745EC"/>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strike val="0"/>
        <outline val="0"/>
        <shadow val="0"/>
        <u val="none"/>
        <vertAlign val="baseline"/>
        <sz val="14"/>
        <color theme="1" tint="0.34998626667073579"/>
        <name val="Calibri"/>
        <scheme val="minor"/>
      </font>
      <numFmt numFmtId="165" formatCode="&quot;$&quot;\ #,##0.00"/>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2" formatCode="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border>
    </dxf>
    <dxf>
      <font>
        <b val="0"/>
        <i val="0"/>
        <strike val="0"/>
        <condense val="0"/>
        <extend val="0"/>
        <outline val="0"/>
        <shadow val="0"/>
        <u val="none"/>
        <vertAlign val="baseline"/>
        <sz val="12"/>
        <color auto="1"/>
        <name val="Calibri"/>
        <scheme val="none"/>
      </font>
      <fill>
        <patternFill patternType="solid">
          <fgColor rgb="FF000000"/>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2"/>
        <color rgb="FF8745EC"/>
        <name val="Calibri"/>
        <scheme val="minor"/>
      </font>
      <fill>
        <patternFill patternType="solid">
          <fgColor indexed="64"/>
          <bgColor rgb="FFF8F3FF"/>
        </patternFill>
      </fill>
      <alignment horizontal="left" vertical="center" textRotation="0" wrapText="0" indent="1" justifyLastLine="0" shrinkToFit="0" readingOrder="0"/>
    </dxf>
    <dxf>
      <font>
        <b/>
        <i val="0"/>
        <strike val="0"/>
        <condense val="0"/>
        <extend val="0"/>
        <outline val="0"/>
        <shadow val="0"/>
        <u val="none"/>
        <vertAlign val="baseline"/>
        <sz val="14"/>
        <color theme="0" tint="-0.499984740745262"/>
        <name val="Calibri"/>
        <family val="2"/>
        <scheme val="minor"/>
      </font>
      <numFmt numFmtId="165" formatCode="&quot;$&quot;\ #,##0.00"/>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medium">
          <color rgb="FF8745EC"/>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strike val="0"/>
        <outline val="0"/>
        <shadow val="0"/>
        <u val="none"/>
        <vertAlign val="baseline"/>
        <sz val="14"/>
        <color theme="1" tint="0.34998626667073579"/>
        <name val="Calibri"/>
        <scheme val="minor"/>
      </font>
      <numFmt numFmtId="165" formatCode="&quot;$&quot;\ #,##0.00"/>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2" formatCode="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border>
    </dxf>
    <dxf>
      <font>
        <b val="0"/>
        <i val="0"/>
        <strike val="0"/>
        <condense val="0"/>
        <extend val="0"/>
        <outline val="0"/>
        <shadow val="0"/>
        <u val="none"/>
        <vertAlign val="baseline"/>
        <sz val="12"/>
        <color auto="1"/>
        <name val="Calibri"/>
        <scheme val="none"/>
      </font>
      <fill>
        <patternFill patternType="solid">
          <fgColor rgb="FF000000"/>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2"/>
        <color rgb="FF8745EC"/>
        <name val="Calibri"/>
        <scheme val="minor"/>
      </font>
      <fill>
        <patternFill patternType="solid">
          <fgColor indexed="64"/>
          <bgColor rgb="FFF8F3FF"/>
        </patternFill>
      </fill>
      <alignment horizontal="left" vertical="center" textRotation="0" wrapText="0" indent="1" justifyLastLine="0" shrinkToFit="0" readingOrder="0"/>
    </dxf>
    <dxf>
      <font>
        <b/>
        <i val="0"/>
      </font>
      <fill>
        <patternFill>
          <bgColor theme="0" tint="-4.9989318521683403E-2"/>
        </patternFill>
      </fill>
      <border>
        <left style="mediumDashDot">
          <color theme="0"/>
        </left>
        <right style="mediumDashDot">
          <color theme="0"/>
        </right>
        <top style="mediumDashDot">
          <color theme="0" tint="-4.9989318521683403E-2"/>
        </top>
        <bottom style="mediumDashDot">
          <color theme="0"/>
        </bottom>
        <vertical style="mediumDashDot">
          <color theme="0"/>
        </vertical>
        <horizontal style="mediumDashDot">
          <color theme="0"/>
        </horizontal>
      </border>
    </dxf>
    <dxf>
      <font>
        <color rgb="FF8745EC"/>
      </font>
      <fill>
        <patternFill>
          <bgColor rgb="FFF8F3FF"/>
        </patternFill>
      </fill>
    </dxf>
    <dxf>
      <border diagonalUp="1">
        <top style="slantDashDot">
          <color theme="0" tint="-4.9989318521683403E-2"/>
        </top>
        <bottom style="slantDashDot">
          <color theme="0" tint="-4.9989318521683403E-2"/>
        </bottom>
        <diagonal style="slantDashDot">
          <color theme="0" tint="-4.9989318521683403E-2"/>
        </diagonal>
        <vertical/>
        <horizontal style="slantDashDot">
          <color theme="0" tint="-4.9989318521683403E-2"/>
        </horizontal>
      </border>
    </dxf>
  </dxfs>
  <tableStyles count="1" defaultTableStyle="Estilo de tabla 1" defaultPivotStyle="PivotStyleLight16">
    <tableStyle name="Estilo de tabla 1" pivot="0" count="3" xr9:uid="{00000000-0011-0000-FFFF-FFFF00000000}">
      <tableStyleElement type="wholeTable" dxfId="56"/>
      <tableStyleElement type="headerRow" dxfId="55"/>
      <tableStyleElement type="totalRow" dxfId="54"/>
    </tableStyle>
  </tableStyles>
  <colors>
    <mruColors>
      <color rgb="FF8745EC"/>
      <color rgb="FFF8F3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externalLink" Target="externalLinks/externalLink1.xml" /><Relationship Id="rId4" Type="http://schemas.openxmlformats.org/officeDocument/2006/relationships/worksheet" Target="worksheets/sheet4.xml" /><Relationship Id="rId9" Type="http://schemas.openxmlformats.org/officeDocument/2006/relationships/calcChain" Target="calcChain.xml" /></Relationships>
</file>

<file path=xl/drawings/drawing1.xml><?xml version="1.0" encoding="utf-8"?>
<xdr:wsDr xmlns:xdr="http://schemas.openxmlformats.org/drawingml/2006/spreadsheetDrawing" xmlns:a="http://schemas.openxmlformats.org/drawingml/2006/main">
  <xdr:twoCellAnchor>
    <xdr:from>
      <xdr:col>0</xdr:col>
      <xdr:colOff>254000</xdr:colOff>
      <xdr:row>4</xdr:row>
      <xdr:rowOff>152400</xdr:rowOff>
    </xdr:from>
    <xdr:to>
      <xdr:col>7</xdr:col>
      <xdr:colOff>444500</xdr:colOff>
      <xdr:row>35</xdr:row>
      <xdr:rowOff>76200</xdr:rowOff>
    </xdr:to>
    <xdr:sp macro="" textlink="">
      <xdr:nvSpPr>
        <xdr:cNvPr id="2" name="TextBox 4">
          <a:extLst>
            <a:ext uri="{FF2B5EF4-FFF2-40B4-BE49-F238E27FC236}">
              <a16:creationId xmlns:a16="http://schemas.microsoft.com/office/drawing/2014/main" id="{00000000-0008-0000-0000-000002000000}"/>
            </a:ext>
          </a:extLst>
        </xdr:cNvPr>
        <xdr:cNvSpPr txBox="1"/>
      </xdr:nvSpPr>
      <xdr:spPr>
        <a:xfrm>
          <a:off x="254000" y="1809750"/>
          <a:ext cx="7534275" cy="6115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a:solidFill>
                <a:schemeClr val="tx1">
                  <a:lumMod val="65000"/>
                  <a:lumOff val="35000"/>
                </a:schemeClr>
              </a:solidFill>
            </a:rPr>
            <a:t>En la plantilla de excel de</a:t>
          </a:r>
          <a:r>
            <a:rPr lang="es-ES" sz="1600" baseline="0">
              <a:solidFill>
                <a:schemeClr val="tx1">
                  <a:lumMod val="65000"/>
                  <a:lumOff val="35000"/>
                </a:schemeClr>
              </a:solidFill>
            </a:rPr>
            <a:t> comparación de precios entre proveedores le permitirá saber que proveedor le da el mejor precio para cada producto que quiera comprar.</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p>
        <a:p>
          <a:endParaRPr lang="es-ES" sz="1600">
            <a:solidFill>
              <a:schemeClr val="tx1">
                <a:lumMod val="65000"/>
                <a:lumOff val="35000"/>
              </a:schemeClr>
            </a:solidFill>
          </a:endParaRPr>
        </a:p>
        <a:p>
          <a:r>
            <a:rPr lang="en-US" sz="1600">
              <a:solidFill>
                <a:schemeClr val="tx1">
                  <a:lumMod val="65000"/>
                  <a:lumOff val="35000"/>
                </a:schemeClr>
              </a:solidFill>
            </a:rPr>
            <a:t>Para usarla,</a:t>
          </a:r>
          <a:r>
            <a:rPr lang="en-US" sz="1600" baseline="0">
              <a:solidFill>
                <a:schemeClr val="tx1">
                  <a:lumMod val="65000"/>
                  <a:lumOff val="35000"/>
                </a:schemeClr>
              </a:solidFill>
            </a:rPr>
            <a:t> sigue estos pasos:</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1. </a:t>
          </a:r>
          <a:r>
            <a:rPr lang="es-ES" sz="1600" baseline="0">
              <a:solidFill>
                <a:schemeClr val="tx1">
                  <a:lumMod val="65000"/>
                  <a:lumOff val="35000"/>
                </a:schemeClr>
              </a:solidFill>
            </a:rPr>
            <a:t>Complete el nombre de los proveedores en la fila 8.</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2. </a:t>
          </a:r>
          <a:r>
            <a:rPr lang="es-ES" sz="1600" baseline="0">
              <a:solidFill>
                <a:schemeClr val="tx1">
                  <a:lumMod val="65000"/>
                  <a:lumOff val="35000"/>
                </a:schemeClr>
              </a:solidFill>
            </a:rPr>
            <a:t>Complete los productos a comparar en la columna B, la cantidad de cada uno de ellos en la columna C  y los precios a partir de la celda D9.</a:t>
          </a:r>
        </a:p>
        <a:p>
          <a:endParaRPr lang="en-US" sz="1600" baseline="0">
            <a:solidFill>
              <a:schemeClr val="tx1">
                <a:lumMod val="65000"/>
                <a:lumOff val="35000"/>
              </a:schemeClr>
            </a:solidFill>
          </a:endParaRPr>
        </a:p>
        <a:p>
          <a:r>
            <a:rPr lang="es-ES" sz="1600" b="1" baseline="0">
              <a:solidFill>
                <a:schemeClr val="tx1">
                  <a:lumMod val="65000"/>
                  <a:lumOff val="35000"/>
                </a:schemeClr>
              </a:solidFill>
            </a:rPr>
            <a:t>3. </a:t>
          </a:r>
          <a:r>
            <a:rPr lang="es-ES" sz="1600" baseline="0">
              <a:solidFill>
                <a:schemeClr val="tx1">
                  <a:lumMod val="65000"/>
                  <a:lumOff val="35000"/>
                </a:schemeClr>
              </a:solidFill>
              <a:latin typeface="+mn-lt"/>
              <a:ea typeface="+mn-ea"/>
              <a:cs typeface="+mn-cs"/>
            </a:rPr>
            <a:t>Opcional: Se pueden agregar datos adicionales que hacen a la decisión del proveedor: 	 	</a:t>
          </a:r>
          <a:r>
            <a:rPr lang="es-AR" sz="1600" baseline="0">
              <a:solidFill>
                <a:schemeClr val="tx1">
                  <a:lumMod val="65000"/>
                  <a:lumOff val="35000"/>
                </a:schemeClr>
              </a:solidFill>
              <a:latin typeface="+mn-lt"/>
              <a:ea typeface="+mn-ea"/>
              <a:cs typeface="+mn-cs"/>
            </a:rPr>
            <a:t>Cantidad de días de entrega</a:t>
          </a:r>
          <a:br>
            <a:rPr lang="es-AR" sz="1600" baseline="0">
              <a:solidFill>
                <a:schemeClr val="tx1">
                  <a:lumMod val="65000"/>
                  <a:lumOff val="35000"/>
                </a:schemeClr>
              </a:solidFill>
              <a:latin typeface="+mn-lt"/>
              <a:ea typeface="+mn-ea"/>
              <a:cs typeface="+mn-cs"/>
            </a:rPr>
          </a:br>
          <a:r>
            <a:rPr lang="es-AR" sz="1600" baseline="0">
              <a:solidFill>
                <a:schemeClr val="tx1">
                  <a:lumMod val="65000"/>
                  <a:lumOff val="35000"/>
                </a:schemeClr>
              </a:solidFill>
              <a:latin typeface="+mn-lt"/>
              <a:ea typeface="+mn-ea"/>
              <a:cs typeface="+mn-cs"/>
            </a:rPr>
            <a:t>		Costo de envío </a:t>
          </a:r>
        </a:p>
        <a:p>
          <a:r>
            <a:rPr lang="es-AR" sz="1600" baseline="0">
              <a:solidFill>
                <a:schemeClr val="tx1">
                  <a:lumMod val="65000"/>
                  <a:lumOff val="35000"/>
                </a:schemeClr>
              </a:solidFill>
              <a:latin typeface="+mn-lt"/>
              <a:ea typeface="+mn-ea"/>
              <a:cs typeface="+mn-cs"/>
            </a:rPr>
            <a:t>		Formas de pago </a:t>
          </a:r>
        </a:p>
        <a:p>
          <a:endParaRPr lang="es-AR" sz="1600" b="0" i="1" u="dbl" strike="noStrike" baseline="0">
            <a:solidFill>
              <a:schemeClr val="tx1">
                <a:lumMod val="65000"/>
                <a:lumOff val="35000"/>
              </a:schemeClr>
            </a:solidFill>
            <a:effectLst/>
            <a:latin typeface="+mn-lt"/>
            <a:ea typeface="+mn-ea"/>
            <a:cs typeface="+mn-cs"/>
          </a:endParaRPr>
        </a:p>
        <a:p>
          <a:endParaRPr lang="es-AR" sz="1600" b="0" i="1" u="dbl" strike="noStrike" baseline="0">
            <a:solidFill>
              <a:schemeClr val="tx1">
                <a:lumMod val="65000"/>
                <a:lumOff val="35000"/>
              </a:schemeClr>
            </a:solidFill>
            <a:effectLst/>
            <a:latin typeface="+mn-lt"/>
            <a:ea typeface="+mn-ea"/>
            <a:cs typeface="+mn-cs"/>
          </a:endParaRPr>
        </a:p>
        <a:p>
          <a:r>
            <a:rPr lang="es-AR" sz="1600" b="1" baseline="0">
              <a:solidFill>
                <a:schemeClr val="tx1">
                  <a:lumMod val="65000"/>
                  <a:lumOff val="35000"/>
                </a:schemeClr>
              </a:solidFill>
              <a:latin typeface="+mn-lt"/>
              <a:ea typeface="+mn-ea"/>
              <a:cs typeface="+mn-cs"/>
            </a:rPr>
            <a:t>Resultados</a:t>
          </a:r>
          <a:endParaRPr lang="es-AR" sz="1100" b="0" i="0" u="none" strike="noStrike">
            <a:solidFill>
              <a:schemeClr val="dk1"/>
            </a:solidFill>
            <a:effectLst/>
            <a:latin typeface="+mn-lt"/>
            <a:ea typeface="+mn-ea"/>
            <a:cs typeface="+mn-cs"/>
          </a:endParaRPr>
        </a:p>
        <a:p>
          <a:pPr marL="0" indent="0"/>
          <a:r>
            <a:rPr lang="es-AR" sz="1600" baseline="0">
              <a:solidFill>
                <a:schemeClr val="tx1">
                  <a:lumMod val="65000"/>
                  <a:lumOff val="35000"/>
                </a:schemeClr>
              </a:solidFill>
              <a:latin typeface="+mn-lt"/>
              <a:ea typeface="+mn-ea"/>
              <a:cs typeface="+mn-cs"/>
            </a:rPr>
            <a:t>Se obtiene el precio más bajo, el promedio y el más alto en las columnas J, K y L</a:t>
          </a:r>
        </a:p>
        <a:p>
          <a:pPr marL="0" indent="0"/>
          <a:r>
            <a:rPr lang="es-AR" sz="1600" baseline="0">
              <a:solidFill>
                <a:schemeClr val="tx1">
                  <a:lumMod val="65000"/>
                  <a:lumOff val="35000"/>
                </a:schemeClr>
              </a:solidFill>
              <a:latin typeface="+mn-lt"/>
              <a:ea typeface="+mn-ea"/>
              <a:cs typeface="+mn-cs"/>
            </a:rPr>
            <a:t>Se marcará en amarillo el proveedor que ofrece el precio más bajo total.</a:t>
          </a:r>
        </a:p>
        <a:p>
          <a:pPr marL="0" indent="0"/>
          <a:endParaRPr lang="es-AR" sz="1600" baseline="0">
            <a:solidFill>
              <a:schemeClr val="tx1">
                <a:lumMod val="65000"/>
                <a:lumOff val="35000"/>
              </a:schemeClr>
            </a:solidFill>
            <a:latin typeface="+mn-lt"/>
            <a:ea typeface="+mn-ea"/>
            <a:cs typeface="+mn-cs"/>
          </a:endParaRPr>
        </a:p>
        <a:p>
          <a:pPr marL="0" indent="0"/>
          <a:r>
            <a:rPr lang="es-AR" sz="1600" b="1" baseline="0">
              <a:solidFill>
                <a:schemeClr val="tx1">
                  <a:lumMod val="65000"/>
                  <a:lumOff val="35000"/>
                </a:schemeClr>
              </a:solidFill>
              <a:latin typeface="+mn-lt"/>
              <a:ea typeface="+mn-ea"/>
              <a:cs typeface="+mn-cs"/>
            </a:rPr>
            <a:t>Aclaración</a:t>
          </a:r>
        </a:p>
        <a:p>
          <a:pPr marL="0" indent="0"/>
          <a:r>
            <a:rPr lang="es-AR" sz="1600" baseline="0">
              <a:solidFill>
                <a:schemeClr val="tx1">
                  <a:lumMod val="65000"/>
                  <a:lumOff val="35000"/>
                </a:schemeClr>
              </a:solidFill>
              <a:latin typeface="+mn-lt"/>
              <a:ea typeface="+mn-ea"/>
              <a:cs typeface="+mn-cs"/>
            </a:rPr>
            <a:t>En el caso de que haya más de un proveedor con el precio más bajo se marcará en amarillo también.</a:t>
          </a:r>
        </a:p>
        <a:p>
          <a:endParaRPr lang="es-ES" sz="1600" baseline="0">
            <a:solidFill>
              <a:schemeClr val="tx1">
                <a:lumMod val="65000"/>
                <a:lumOff val="35000"/>
              </a:schemeClr>
            </a:solidFill>
            <a:latin typeface="+mn-lt"/>
            <a:ea typeface="+mn-ea"/>
            <a:cs typeface="+mn-cs"/>
          </a:endParaRPr>
        </a:p>
      </xdr:txBody>
    </xdr:sp>
    <xdr:clientData/>
  </xdr:twoCellAnchor>
  <xdr:twoCellAnchor editAs="absolute">
    <xdr:from>
      <xdr:col>1</xdr:col>
      <xdr:colOff>88899</xdr:colOff>
      <xdr:row>0</xdr:row>
      <xdr:rowOff>117475</xdr:rowOff>
    </xdr:from>
    <xdr:to>
      <xdr:col>6</xdr:col>
      <xdr:colOff>404812</xdr:colOff>
      <xdr:row>2</xdr:row>
      <xdr:rowOff>41275</xdr:rowOff>
    </xdr:to>
    <xdr:sp macro="" textlink="">
      <xdr:nvSpPr>
        <xdr:cNvPr id="6" name="TextBox 12">
          <a:extLst>
            <a:ext uri="{FF2B5EF4-FFF2-40B4-BE49-F238E27FC236}">
              <a16:creationId xmlns:a16="http://schemas.microsoft.com/office/drawing/2014/main" id="{00000000-0008-0000-0000-000006000000}"/>
            </a:ext>
          </a:extLst>
        </xdr:cNvPr>
        <xdr:cNvSpPr txBox="1"/>
      </xdr:nvSpPr>
      <xdr:spPr>
        <a:xfrm>
          <a:off x="362743" y="117475"/>
          <a:ext cx="662622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 de precios entre proveedores</a:t>
          </a:r>
        </a:p>
      </xdr:txBody>
    </xdr:sp>
    <xdr:clientData/>
  </xdr:twoCellAnchor>
  <xdr:twoCellAnchor editAs="absolute">
    <xdr:from>
      <xdr:col>9</xdr:col>
      <xdr:colOff>431800</xdr:colOff>
      <xdr:row>0</xdr:row>
      <xdr:rowOff>117475</xdr:rowOff>
    </xdr:from>
    <xdr:to>
      <xdr:col>10</xdr:col>
      <xdr:colOff>1168400</xdr:colOff>
      <xdr:row>2</xdr:row>
      <xdr:rowOff>41275</xdr:rowOff>
    </xdr:to>
    <xdr:sp macro="" textlink="">
      <xdr:nvSpPr>
        <xdr:cNvPr id="7" name="TextBox 13">
          <a:extLst>
            <a:ext uri="{FF2B5EF4-FFF2-40B4-BE49-F238E27FC236}">
              <a16:creationId xmlns:a16="http://schemas.microsoft.com/office/drawing/2014/main" id="{00000000-0008-0000-0000-000007000000}"/>
            </a:ext>
          </a:extLst>
        </xdr:cNvPr>
        <xdr:cNvSpPr txBox="1"/>
      </xdr:nvSpPr>
      <xdr:spPr>
        <a:xfrm>
          <a:off x="10802144" y="117475"/>
          <a:ext cx="1998662"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DCF8F0"/>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6</xdr:col>
      <xdr:colOff>187642</xdr:colOff>
      <xdr:row>2</xdr:row>
      <xdr:rowOff>40957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28600" y="190500"/>
          <a:ext cx="7675350" cy="73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a:t>
          </a:r>
          <a:r>
            <a:rPr lang="en-US" sz="2400" b="1" baseline="0">
              <a:solidFill>
                <a:schemeClr val="bg1"/>
              </a:solidFill>
            </a:rPr>
            <a:t> de precios entre proveedores</a:t>
          </a:r>
          <a:endParaRPr lang="en-US" sz="2400" b="1">
            <a:solidFill>
              <a:schemeClr val="bg1"/>
            </a:solidFill>
          </a:endParaRPr>
        </a:p>
      </xdr:txBody>
    </xdr:sp>
    <xdr:clientData/>
  </xdr:twoCellAnchor>
  <xdr:twoCellAnchor editAs="absolute">
    <xdr:from>
      <xdr:col>8</xdr:col>
      <xdr:colOff>1111793</xdr:colOff>
      <xdr:row>1</xdr:row>
      <xdr:rowOff>155780</xdr:rowOff>
    </xdr:from>
    <xdr:to>
      <xdr:col>10</xdr:col>
      <xdr:colOff>1285466</xdr:colOff>
      <xdr:row>1</xdr:row>
      <xdr:rowOff>613297</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1961826" y="346280"/>
          <a:ext cx="3012123" cy="45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5</xdr:col>
      <xdr:colOff>1150725</xdr:colOff>
      <xdr:row>2</xdr:row>
      <xdr:rowOff>40957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28600" y="190500"/>
          <a:ext cx="7675350" cy="73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a:t>
          </a:r>
          <a:r>
            <a:rPr lang="en-US" sz="2400" b="1" baseline="0">
              <a:solidFill>
                <a:schemeClr val="bg1"/>
              </a:solidFill>
            </a:rPr>
            <a:t> de precios entre proveedores</a:t>
          </a:r>
          <a:endParaRPr lang="en-US" sz="2400" b="1">
            <a:solidFill>
              <a:schemeClr val="bg1"/>
            </a:solidFill>
          </a:endParaRPr>
        </a:p>
      </xdr:txBody>
    </xdr:sp>
    <xdr:clientData/>
  </xdr:twoCellAnchor>
  <xdr:twoCellAnchor editAs="absolute">
    <xdr:from>
      <xdr:col>8</xdr:col>
      <xdr:colOff>1220801</xdr:colOff>
      <xdr:row>1</xdr:row>
      <xdr:rowOff>155780</xdr:rowOff>
    </xdr:from>
    <xdr:to>
      <xdr:col>10</xdr:col>
      <xdr:colOff>1171166</xdr:colOff>
      <xdr:row>1</xdr:row>
      <xdr:rowOff>613297</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1961826" y="346280"/>
          <a:ext cx="3012123" cy="45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oysena-my.sharepoint.com/personal/marlmoya_soy_sena_edu_co/Documents/Portafolio%20aprendiz%20-%20MARTIN%20LEE%20MOYA%20LLANO%20(Ficha%202900619)%20-%20ADSO/Segundo%20Trimestre/Instructor%20T&#233;cnico%20-%20Edwin%20Mar&#237;n%20Chiguasuque/3.%20EVIDENCIAS%20DE%20APRENDIZAJE/1.%20Costos/MATRIZ/Cuadro-de-Cotizaciones.xlsx" TargetMode="External" /><Relationship Id="rId1" Type="http://schemas.microsoft.com/office/2019/04/relationships/externalLinkLongPath" Target="Cuadro-de-Cotizaciones.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o6H55iWXEW-SlP0WgQhHXOgT6ozGU1NpFXYHqK037U6gFRGePTxSpKj3vx4eZ8X" itemId="012XTHFQHK5EGYWHQE5NEYMTFFTNHHUJ25">
      <xxl21:absoluteUrl r:id="rId2"/>
    </xxl21:alternateUrls>
    <sheetNames>
      <sheetName val="Torre admin"/>
      <sheetName val="Monitor Admin"/>
      <sheetName val="DiscoSolido Admin"/>
      <sheetName val="Disco duro interno Admin"/>
      <sheetName val="Servidor Admin"/>
      <sheetName val="ram Admin"/>
      <sheetName val="Teclado Admin"/>
      <sheetName val="Mause Admin"/>
      <sheetName val="Portatil Nosotros"/>
      <sheetName val="Monitor Nosotros"/>
      <sheetName val=" Disco mecanico Nosotros"/>
      <sheetName val=" Servidor Nosotros"/>
      <sheetName val=" ram nosotros"/>
      <sheetName val="Tarjeta de video nosotros"/>
      <sheetName val="Procesador Nosotros"/>
      <sheetName val="Teclado nosostros "/>
      <sheetName val="Muse nosotros"/>
      <sheetName val="software licencia"/>
      <sheetName val="licencia visual"/>
      <sheetName val="windows 11 licencia"/>
      <sheetName val="licencia SQL"/>
    </sheetNames>
    <sheetDataSet>
      <sheetData sheetId="0">
        <row r="8">
          <cell r="D8" t="str">
            <v>Cpu Torre Core I5 +16ram+hd500 Monitor 19</v>
          </cell>
          <cell r="H8">
            <v>848151</v>
          </cell>
        </row>
        <row r="9">
          <cell r="H9">
            <v>702088.1</v>
          </cell>
        </row>
        <row r="10">
          <cell r="H10">
            <v>1061480</v>
          </cell>
        </row>
      </sheetData>
      <sheetData sheetId="1">
        <row r="8">
          <cell r="D8" t="str">
            <v>Monitor Curvo 27 Fhd Diseño Sin Bordes Color Black 100V/240V</v>
          </cell>
          <cell r="H8">
            <v>851207</v>
          </cell>
        </row>
        <row r="9">
          <cell r="H9">
            <v>831810</v>
          </cell>
        </row>
        <row r="10">
          <cell r="H10">
            <v>1427881</v>
          </cell>
        </row>
      </sheetData>
      <sheetData sheetId="2">
        <row r="8">
          <cell r="D8" t="str">
            <v>Disco sólido SSD interno Crucial CT500BX500SSD1 500GB negro</v>
          </cell>
          <cell r="H8">
            <v>190281</v>
          </cell>
        </row>
        <row r="9">
          <cell r="H9">
            <v>654381</v>
          </cell>
        </row>
        <row r="10">
          <cell r="H10">
            <v>362831</v>
          </cell>
        </row>
      </sheetData>
      <sheetData sheetId="3">
        <row r="8">
          <cell r="D8" t="str">
            <v>Disco sólido SSD interno Kingston SA400S37/240GB Negro</v>
          </cell>
          <cell r="H8">
            <v>223380</v>
          </cell>
        </row>
        <row r="9">
          <cell r="H9">
            <v>875781</v>
          </cell>
        </row>
        <row r="10">
          <cell r="H10">
            <v>481800</v>
          </cell>
        </row>
      </sheetData>
      <sheetData sheetId="4">
        <row r="8">
          <cell r="D8" t="str">
            <v>Poweredge T150 - Tower Server/ Intel Xeon E-2336g/16gb/2tb</v>
          </cell>
          <cell r="H8">
            <v>18396000</v>
          </cell>
        </row>
        <row r="9">
          <cell r="H9">
            <v>2627997.8099999996</v>
          </cell>
        </row>
        <row r="10">
          <cell r="H10">
            <v>2627997.8099999996</v>
          </cell>
        </row>
      </sheetData>
      <sheetData sheetId="5">
        <row r="8">
          <cell r="D8" t="str">
            <v>MEMORIA RAM DDR4 16G 3200 CORSAIR VENGEANCE RGB RS</v>
          </cell>
          <cell r="H8">
            <v>873810</v>
          </cell>
        </row>
        <row r="9">
          <cell r="H9">
            <v>394285.41000000003</v>
          </cell>
        </row>
        <row r="10">
          <cell r="H10">
            <v>216810</v>
          </cell>
        </row>
      </sheetData>
      <sheetData sheetId="6">
        <row r="8">
          <cell r="D8" t="str">
            <v>Combo Dell Wireless Km3322w Teclado + Mouse</v>
          </cell>
          <cell r="H8">
            <v>185904.72</v>
          </cell>
        </row>
        <row r="9">
          <cell r="H9">
            <v>131181</v>
          </cell>
        </row>
        <row r="10">
          <cell r="H10">
            <v>1204281</v>
          </cell>
        </row>
      </sheetData>
      <sheetData sheetId="7">
        <row r="8">
          <cell r="D8" t="str">
            <v>Mouse gamer vertical inalámbrico recargable Weibo WB-881 negro</v>
          </cell>
          <cell r="H8">
            <v>64911.599999999991</v>
          </cell>
        </row>
        <row r="9">
          <cell r="H9">
            <v>59130</v>
          </cell>
        </row>
        <row r="10">
          <cell r="H10">
            <v>319521</v>
          </cell>
        </row>
      </sheetData>
      <sheetData sheetId="8">
        <row r="8">
          <cell r="D8" t="str">
            <v>Portatil Lenovo Ryzen 7 5825u Ram 24gb Solido 512gb Fhd</v>
          </cell>
        </row>
        <row r="9">
          <cell r="H9">
            <v>4049310</v>
          </cell>
        </row>
      </sheetData>
      <sheetData sheetId="9">
        <row r="8">
          <cell r="D8" t="str">
            <v>Monitor SAMSUNG Gamer 32" Pulgadas AG320 Plano Negro</v>
          </cell>
          <cell r="H8">
            <v>2408781</v>
          </cell>
        </row>
        <row r="9">
          <cell r="H9">
            <v>2877441</v>
          </cell>
        </row>
        <row r="10">
          <cell r="H10">
            <v>3302044.77</v>
          </cell>
        </row>
      </sheetData>
      <sheetData sheetId="10">
        <row r="8">
          <cell r="D8" t="str">
            <v>Disco Duro Interno Western Digital WD5000LPZX 2.5in 500gb Hdd Sata Iii Plata</v>
          </cell>
          <cell r="H8">
            <v>124652.61</v>
          </cell>
        </row>
        <row r="9">
          <cell r="H9">
            <v>516840</v>
          </cell>
        </row>
        <row r="10">
          <cell r="H10">
            <v>435810</v>
          </cell>
        </row>
      </sheetData>
      <sheetData sheetId="11">
        <row r="8">
          <cell r="D8" t="str">
            <v>ZimaBoard 832 Router de servidor de una sola placa X86 Computadora de una sola placa Almacenamiento en la red en la nube personal Servidor multimedia 4K Puerta de enlace Gigabit dual - PCIe x4 SATA</v>
          </cell>
          <cell r="H8">
            <v>1956318.24</v>
          </cell>
        </row>
        <row r="9">
          <cell r="H9">
            <v>8431500</v>
          </cell>
        </row>
        <row r="10">
          <cell r="H10">
            <v>5255997.8100000005</v>
          </cell>
        </row>
      </sheetData>
      <sheetData sheetId="12">
        <row r="8">
          <cell r="D8" t="str">
            <v>Memoria Ram Samsung 8gb Ddr3 1600mhz Portatil Laptop</v>
          </cell>
          <cell r="H8">
            <v>110376</v>
          </cell>
        </row>
        <row r="9">
          <cell r="H9">
            <v>1778280</v>
          </cell>
        </row>
        <row r="10">
          <cell r="H10">
            <v>1778280</v>
          </cell>
        </row>
      </sheetData>
      <sheetData sheetId="13">
        <row r="8">
          <cell r="D8" t="str">
            <v>Tarjeta De Video G210 1gb Ddr3 Hdmi Pci E</v>
          </cell>
          <cell r="H8">
            <v>416100</v>
          </cell>
        </row>
        <row r="9">
          <cell r="H9">
            <v>1543950</v>
          </cell>
        </row>
        <row r="10">
          <cell r="H10">
            <v>941700</v>
          </cell>
        </row>
      </sheetData>
      <sheetData sheetId="14">
        <row r="8">
          <cell r="D8" t="str">
            <v>Procesador Intel Core I5 14600k 3.5 Ghz Socket 1700</v>
          </cell>
          <cell r="G8">
            <v>926.53846153846155</v>
          </cell>
        </row>
        <row r="9">
          <cell r="H9">
            <v>4150049.9999999995</v>
          </cell>
        </row>
        <row r="10">
          <cell r="H10">
            <v>5753130</v>
          </cell>
        </row>
      </sheetData>
      <sheetData sheetId="15">
        <row r="8">
          <cell r="H8">
            <v>240681</v>
          </cell>
        </row>
        <row r="9">
          <cell r="H9">
            <v>197100</v>
          </cell>
        </row>
        <row r="10">
          <cell r="H10">
            <v>100740</v>
          </cell>
        </row>
      </sheetData>
      <sheetData sheetId="16">
        <row r="8">
          <cell r="H8">
            <v>206801.7</v>
          </cell>
        </row>
        <row r="9">
          <cell r="H9">
            <v>144321</v>
          </cell>
        </row>
        <row r="10">
          <cell r="H10">
            <v>197100</v>
          </cell>
        </row>
      </sheetData>
      <sheetData sheetId="17">
        <row r="8">
          <cell r="D8" t="str">
            <v>MICROSOFT WINDOWS 10 PROFESIONAL A 64 BITS OEM FQC-08981</v>
          </cell>
          <cell r="H8">
            <v>1007400</v>
          </cell>
        </row>
        <row r="9">
          <cell r="H9">
            <v>1401600</v>
          </cell>
        </row>
        <row r="10">
          <cell r="H10">
            <v>1949100</v>
          </cell>
        </row>
      </sheetData>
      <sheetData sheetId="18">
        <row r="8">
          <cell r="D8" t="str">
            <v>Licencia Visual Studio 2022 Enterprise</v>
          </cell>
          <cell r="H8">
            <v>1705442.79</v>
          </cell>
        </row>
        <row r="9">
          <cell r="H9">
            <v>1705442.79</v>
          </cell>
        </row>
        <row r="10">
          <cell r="H10">
            <v>1705442.79</v>
          </cell>
        </row>
      </sheetData>
      <sheetData sheetId="19">
        <row r="8">
          <cell r="D8" t="str">
            <v xml:space="preserve">Licencia Windows 11 Pro ESD Vitalicia
</v>
          </cell>
          <cell r="H8">
            <v>1724462.94</v>
          </cell>
        </row>
        <row r="9">
          <cell r="H9">
            <v>941700</v>
          </cell>
        </row>
        <row r="10">
          <cell r="H10">
            <v>1177199.46</v>
          </cell>
        </row>
      </sheetData>
      <sheetData sheetId="20">
        <row r="8">
          <cell r="D8" t="str">
            <v>Licencia de dispositivo SQL Server 2022 - 1 CAL</v>
          </cell>
          <cell r="H8">
            <v>580636.89</v>
          </cell>
        </row>
        <row r="9">
          <cell r="H9">
            <v>2832984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aración_precios2" displayName="Comparación_precios2" ref="B8:L26" totalsRowCount="1" headerRowDxfId="53" dataDxfId="52">
  <tableColumns count="11">
    <tableColumn id="1" xr3:uid="{00000000-0010-0000-0000-000001000000}" name="PRODUCTO" totalsRowLabel="Total" dataDxfId="51" totalsRowDxfId="50">
      <calculatedColumnFormula>'[1]Monitor Admin'!$D$8</calculatedColumnFormula>
    </tableColumn>
    <tableColumn id="8" xr3:uid="{00000000-0010-0000-0000-000008000000}" name="CANTIDAD" dataDxfId="49" totalsRowDxfId="48"/>
    <tableColumn id="2" xr3:uid="{00000000-0010-0000-0000-000002000000}" name="PROVEEDOR 1" totalsRowFunction="custom" totalsRowDxfId="47">
      <calculatedColumnFormula>'[1]Monitor Admin'!$H$8</calculatedColumnFormula>
      <totalsRowFormula>ROUND(SUMPRODUCT(Comparación_precios2[[CANTIDAD]:[CANTIDAD]],Comparación_precios2[PROVEEDOR 1]),2)</totalsRowFormula>
    </tableColumn>
    <tableColumn id="3" xr3:uid="{00000000-0010-0000-0000-000003000000}" name="PROVEEDOR 2" totalsRowFunction="custom" dataDxfId="46" totalsRowDxfId="45">
      <calculatedColumnFormula>'[1]Monitor Admin'!$H$9</calculatedColumnFormula>
      <totalsRowFormula>ROUND(SUMPRODUCT(Comparación_precios2[[CANTIDAD]:[CANTIDAD]],Comparación_precios2[PROVEEDOR 2]),2)</totalsRowFormula>
    </tableColumn>
    <tableColumn id="4" xr3:uid="{00000000-0010-0000-0000-000004000000}" name="PROVEEDOR 3" totalsRowFunction="custom" dataDxfId="44" totalsRowDxfId="43">
      <calculatedColumnFormula>'[1]Monitor Admin'!$H$10</calculatedColumnFormula>
      <totalsRowFormula>ROUND(SUMPRODUCT(Comparación_precios2[[CANTIDAD]:[CANTIDAD]],Comparación_precios2[PROVEEDOR 3]),2)</totalsRowFormula>
    </tableColumn>
    <tableColumn id="5" xr3:uid="{00000000-0010-0000-0000-000005000000}" name="PROVEEDOR 4" totalsRowFunction="custom" dataDxfId="42" totalsRowDxfId="41">
      <totalsRowFormula>ROUND(SUMPRODUCT(Comparación_precios2[[CANTIDAD]:[CANTIDAD]],Comparación_precios2[PROVEEDOR 4]),2)</totalsRowFormula>
    </tableColumn>
    <tableColumn id="6" xr3:uid="{00000000-0010-0000-0000-000006000000}" name="PROVEEDOR 5" totalsRowFunction="custom" dataDxfId="40" totalsRowDxfId="39">
      <totalsRowFormula>ROUND(SUMPRODUCT(Comparación_precios2[[CANTIDAD]:[CANTIDAD]],Comparación_precios2[PROVEEDOR 5]),2)</totalsRowFormula>
    </tableColumn>
    <tableColumn id="7" xr3:uid="{00000000-0010-0000-0000-000007000000}" name="PROVEEDOR 6" totalsRowFunction="custom" dataDxfId="38" totalsRowDxfId="37">
      <totalsRowFormula>ROUND(SUMPRODUCT(Comparación_precios2[[CANTIDAD]:[CANTIDAD]],Comparación_precios2[PROVEEDOR 6]),2)</totalsRowFormula>
    </tableColumn>
    <tableColumn id="11" xr3:uid="{00000000-0010-0000-0000-00000B000000}" name="PRECIO MÁS BAJO" dataDxfId="36" totalsRowDxfId="35">
      <calculatedColumnFormula>MIN(Comparación_precios2[[#This Row],[PROVEEDOR 1]:[PROVEEDOR 6]])</calculatedColumnFormula>
    </tableColumn>
    <tableColumn id="12" xr3:uid="{00000000-0010-0000-0000-00000C000000}" name="PRECIO PROMEDIO" dataDxfId="34" totalsRowDxfId="33">
      <calculatedColumnFormula>IFERROR(AVERAGE(Comparación_precios2[[#This Row],[PROVEEDOR 1]:[PROVEEDOR 6]]),0)</calculatedColumnFormula>
    </tableColumn>
    <tableColumn id="13" xr3:uid="{00000000-0010-0000-0000-00000D000000}" name="PRECIO MÁS ALTO" dataDxfId="32" totalsRowDxfId="31">
      <calculatedColumnFormula>MAX(Comparación_precios2[[#This Row],[PROVEEDOR 1]:[PROVEEDOR 6]])</calculatedColumnFormula>
    </tableColumn>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omparación_precios24" displayName="Comparación_precios24" ref="B8:L25" totalsRowCount="1" headerRowDxfId="30" dataDxfId="29">
  <tableColumns count="11">
    <tableColumn id="1" xr3:uid="{00000000-0010-0000-0100-000001000000}" name="PRODUCTO" totalsRowLabel="Total" dataDxfId="28" totalsRowDxfId="27">
      <calculatedColumnFormula>'[1]Monitor Admin'!$D$8</calculatedColumnFormula>
    </tableColumn>
    <tableColumn id="8" xr3:uid="{00000000-0010-0000-0100-000008000000}" name="CANTIDAD" dataDxfId="26" totalsRowDxfId="25"/>
    <tableColumn id="2" xr3:uid="{00000000-0010-0000-0100-000002000000}" name="PROVEEDOR 1" totalsRowFunction="custom" dataDxfId="24" totalsRowDxfId="23">
      <calculatedColumnFormula>'[1]Monitor Nosotros'!$H$8*3</calculatedColumnFormula>
      <totalsRowFormula>ROUND(SUMPRODUCT(Comparación_precios24[[CANTIDAD]:[CANTIDAD]],Comparación_precios24[PROVEEDOR 1]),2)</totalsRowFormula>
    </tableColumn>
    <tableColumn id="3" xr3:uid="{00000000-0010-0000-0100-000003000000}" name="PROVEEDOR 2" totalsRowFunction="custom" dataDxfId="22" totalsRowDxfId="21">
      <calculatedColumnFormula>'[1]Portatil Nosotros'!$H$9*3</calculatedColumnFormula>
      <totalsRowFormula>ROUND(SUMPRODUCT(Comparación_precios24[[CANTIDAD]:[CANTIDAD]],Comparación_precios24[PROVEEDOR 2]),2)</totalsRowFormula>
    </tableColumn>
    <tableColumn id="4" xr3:uid="{00000000-0010-0000-0100-000004000000}" name="PROVEEDOR 3" totalsRowFunction="custom" dataDxfId="20" totalsRowDxfId="19">
      <calculatedColumnFormula>'[1]Monitor Nosotros'!$H$10 *3</calculatedColumnFormula>
      <totalsRowFormula>ROUND(SUMPRODUCT(Comparación_precios24[[CANTIDAD]:[CANTIDAD]],Comparación_precios24[PROVEEDOR 3]),2)</totalsRowFormula>
    </tableColumn>
    <tableColumn id="5" xr3:uid="{00000000-0010-0000-0100-000005000000}" name="PROVEEDOR 4" totalsRowFunction="custom" dataDxfId="18" totalsRowDxfId="17">
      <totalsRowFormula>ROUND(SUMPRODUCT(Comparación_precios24[[CANTIDAD]:[CANTIDAD]],Comparación_precios24[PROVEEDOR 4]),2)</totalsRowFormula>
    </tableColumn>
    <tableColumn id="6" xr3:uid="{00000000-0010-0000-0100-000006000000}" name="PROVEEDOR 5" totalsRowFunction="custom" dataDxfId="16" totalsRowDxfId="15">
      <totalsRowFormula>ROUND(SUMPRODUCT(Comparación_precios24[[CANTIDAD]:[CANTIDAD]],Comparación_precios24[PROVEEDOR 5]),2)</totalsRowFormula>
    </tableColumn>
    <tableColumn id="7" xr3:uid="{00000000-0010-0000-0100-000007000000}" name="PROVEEDOR 6" totalsRowFunction="custom" dataDxfId="14" totalsRowDxfId="13">
      <totalsRowFormula>ROUND(SUMPRODUCT(Comparación_precios24[[CANTIDAD]:[CANTIDAD]],Comparación_precios24[PROVEEDOR 6]),2)</totalsRowFormula>
    </tableColumn>
    <tableColumn id="11" xr3:uid="{00000000-0010-0000-0100-00000B000000}" name="PRECIO MÁS BAJO" dataDxfId="12" totalsRowDxfId="11">
      <calculatedColumnFormula>MIN(Comparación_precios24[[#This Row],[PROVEEDOR 1]:[PROVEEDOR 6]])</calculatedColumnFormula>
    </tableColumn>
    <tableColumn id="12" xr3:uid="{00000000-0010-0000-0100-00000C000000}" name="PRECIO PROMEDIO" dataDxfId="10" totalsRowDxfId="9">
      <calculatedColumnFormula>IFERROR(AVERAGE(Comparación_precios24[[#This Row],[PROVEEDOR 1]:[PROVEEDOR 6]]),0)</calculatedColumnFormula>
    </tableColumn>
    <tableColumn id="13" xr3:uid="{00000000-0010-0000-0100-00000D000000}" name="PRECIO MÁS ALTO" dataDxfId="8" totalsRowDxfId="7">
      <calculatedColumnFormula>MAX(Comparación_precios24[[#This Row],[PROVEEDOR 1]:[PROVEEDOR 6]])</calculatedColumnFormula>
    </tableColumn>
  </tableColumns>
  <tableStyleInfo name="Estilo de tabla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2.xml" /><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 /><Relationship Id="rId2" Type="http://schemas.openxmlformats.org/officeDocument/2006/relationships/drawing" Target="../drawings/drawing3.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5"/>
  <sheetViews>
    <sheetView showGridLines="0" zoomScale="80" zoomScaleNormal="80" workbookViewId="0">
      <selection activeCell="H6" sqref="H6"/>
    </sheetView>
  </sheetViews>
  <sheetFormatPr defaultColWidth="11.96484375" defaultRowHeight="15" x14ac:dyDescent="0.2"/>
  <cols>
    <col min="1" max="1" width="4.88671875" style="18" customWidth="1"/>
    <col min="2" max="11" width="22.08203125" style="18" customWidth="1"/>
    <col min="12" max="16384" width="11.96484375" style="18"/>
  </cols>
  <sheetData>
    <row r="1" spans="2:11" ht="9.9499999999999993" customHeight="1" x14ac:dyDescent="0.2"/>
    <row r="2" spans="2:11" customFormat="1" ht="54.95" customHeight="1" x14ac:dyDescent="0.1">
      <c r="B2" s="5"/>
      <c r="C2" s="5"/>
      <c r="D2" s="5"/>
      <c r="E2" s="5"/>
      <c r="F2" s="5"/>
      <c r="G2" s="5"/>
      <c r="H2" s="5"/>
      <c r="I2" s="5"/>
      <c r="J2" s="5"/>
      <c r="K2" s="5"/>
    </row>
    <row r="3" spans="2:11" ht="24" customHeight="1" x14ac:dyDescent="0.2"/>
    <row r="4" spans="2:11" ht="42" customHeight="1" x14ac:dyDescent="0.2">
      <c r="B4" s="19" t="s">
        <v>0</v>
      </c>
      <c r="C4" s="20"/>
      <c r="D4" s="20"/>
      <c r="E4" s="20"/>
      <c r="F4" s="20"/>
      <c r="G4" s="20"/>
      <c r="H4" s="20"/>
      <c r="I4" s="20"/>
      <c r="J4" s="20"/>
      <c r="K4" s="20"/>
    </row>
    <row r="5" spans="2:11" ht="1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43"/>
  <sheetViews>
    <sheetView showGridLines="0" tabSelected="1" topLeftCell="B6" zoomScale="90" zoomScaleNormal="90" workbookViewId="0">
      <selection activeCell="A14" sqref="A14:XFD14"/>
    </sheetView>
  </sheetViews>
  <sheetFormatPr defaultColWidth="9.26953125" defaultRowHeight="14.25" x14ac:dyDescent="0.2"/>
  <cols>
    <col min="1" max="1" width="4.04296875" style="1" customWidth="1"/>
    <col min="2" max="2" width="23.4296875" style="1" customWidth="1"/>
    <col min="3" max="3" width="31.51953125" style="1" customWidth="1"/>
    <col min="4" max="4" width="27.4765625" style="1" customWidth="1"/>
    <col min="5" max="5" width="23.26171875" style="1" bestFit="1" customWidth="1"/>
    <col min="6" max="6" width="25.11328125" style="1" bestFit="1" customWidth="1"/>
    <col min="7" max="7" width="32.53125" style="1" customWidth="1"/>
    <col min="8" max="8" width="22.25" style="1" bestFit="1" customWidth="1"/>
    <col min="9" max="9" width="22.25" style="1" customWidth="1"/>
    <col min="10" max="10" width="27.3046875" style="1" customWidth="1"/>
    <col min="11" max="11" width="23.4296875" style="3" customWidth="1"/>
    <col min="12" max="12" width="24.77734375" style="3" customWidth="1"/>
    <col min="13" max="13" width="20.5625" style="1" customWidth="1"/>
    <col min="14" max="14" width="20.73046875" style="1" customWidth="1"/>
    <col min="15" max="16384" width="9.26953125" style="1"/>
  </cols>
  <sheetData>
    <row r="1" spans="2:14" ht="15" customHeight="1" x14ac:dyDescent="0.2"/>
    <row r="2" spans="2:14" customFormat="1" ht="54.95" customHeight="1" x14ac:dyDescent="0.1">
      <c r="B2" s="5"/>
      <c r="C2" s="5"/>
      <c r="D2" s="5"/>
      <c r="E2" s="5"/>
      <c r="F2" s="5"/>
      <c r="G2" s="5"/>
      <c r="H2" s="5"/>
      <c r="I2" s="30"/>
      <c r="J2" s="30"/>
      <c r="K2" s="30"/>
      <c r="L2" s="30"/>
    </row>
    <row r="3" spans="2:14" ht="15" customHeight="1" x14ac:dyDescent="0.2"/>
    <row r="4" spans="2:14" ht="15" customHeight="1" x14ac:dyDescent="0.2"/>
    <row r="5" spans="2:14" ht="29.25" x14ac:dyDescent="0.2">
      <c r="B5" s="16" t="s">
        <v>1</v>
      </c>
      <c r="C5" s="16"/>
    </row>
    <row r="6" spans="2:14" ht="30" thickBot="1" x14ac:dyDescent="0.25">
      <c r="B6" s="17" t="s">
        <v>2</v>
      </c>
      <c r="C6" s="17"/>
      <c r="D6" s="16"/>
      <c r="E6" s="16"/>
      <c r="F6" s="16"/>
      <c r="G6" s="16"/>
      <c r="H6" s="16"/>
      <c r="I6" s="16"/>
      <c r="J6" s="4"/>
      <c r="K6" s="4"/>
      <c r="L6" s="4"/>
      <c r="M6" s="4"/>
      <c r="N6" s="4"/>
    </row>
    <row r="7" spans="2:14" ht="24.75" customHeight="1" thickBot="1" x14ac:dyDescent="0.25">
      <c r="J7" s="76" t="s">
        <v>3</v>
      </c>
      <c r="K7" s="77"/>
      <c r="L7" s="78"/>
    </row>
    <row r="8" spans="2:14" s="6" customFormat="1" ht="46.5" customHeight="1" thickBot="1" x14ac:dyDescent="0.3">
      <c r="B8" s="31" t="s">
        <v>4</v>
      </c>
      <c r="C8" s="31" t="s">
        <v>5</v>
      </c>
      <c r="D8" s="31" t="s">
        <v>6</v>
      </c>
      <c r="E8" s="31" t="s">
        <v>7</v>
      </c>
      <c r="F8" s="31" t="s">
        <v>8</v>
      </c>
      <c r="G8" s="31" t="s">
        <v>9</v>
      </c>
      <c r="H8" s="31" t="s">
        <v>10</v>
      </c>
      <c r="I8" s="31" t="s">
        <v>11</v>
      </c>
      <c r="J8" s="11" t="s">
        <v>12</v>
      </c>
      <c r="K8" s="10" t="s">
        <v>13</v>
      </c>
      <c r="L8" s="12" t="s">
        <v>14</v>
      </c>
    </row>
    <row r="9" spans="2:14" s="7" customFormat="1" ht="114" customHeight="1" x14ac:dyDescent="0.25">
      <c r="B9" s="59" t="str">
        <f>'[1]Torre admin'!$D$8</f>
        <v>Cpu Torre Core I5 +16ram+hd500 Monitor 19</v>
      </c>
      <c r="C9" s="60">
        <v>1</v>
      </c>
      <c r="D9" s="42">
        <f>'[1]Torre admin'!$H$8</f>
        <v>848151</v>
      </c>
      <c r="E9" s="61">
        <f>'[1]Torre admin'!$H$9</f>
        <v>702088.1</v>
      </c>
      <c r="F9" s="61">
        <f>'[1]Torre admin'!$H$10</f>
        <v>1061480</v>
      </c>
      <c r="G9" s="61"/>
      <c r="H9" s="61"/>
      <c r="I9" s="75"/>
      <c r="J9" s="62">
        <f>MIN(Comparación_precios2[[#This Row],[PROVEEDOR 1]:[PROVEEDOR 6]])</f>
        <v>702088.1</v>
      </c>
      <c r="K9" s="8">
        <f>IFERROR(AVERAGE(Comparación_precios2[[#This Row],[PROVEEDOR 1]:[PROVEEDOR 6]]),0)</f>
        <v>870573.03333333333</v>
      </c>
      <c r="L9" s="14">
        <f>MAX(Comparación_precios2[[#This Row],[PROVEEDOR 1]:[PROVEEDOR 6]])</f>
        <v>1061480</v>
      </c>
    </row>
    <row r="10" spans="2:14" s="7" customFormat="1" ht="153" customHeight="1" thickBot="1" x14ac:dyDescent="0.3">
      <c r="B10" s="57" t="str">
        <f>'[1]Monitor Admin'!$D$8</f>
        <v>Monitor Curvo 27 Fhd Diseño Sin Bordes Color Black 100V/240V</v>
      </c>
      <c r="C10" s="32">
        <v>2</v>
      </c>
      <c r="D10" s="9">
        <f>'[1]Monitor Admin'!$H$8</f>
        <v>851207</v>
      </c>
      <c r="E10" s="9">
        <f>'[1]Monitor Admin'!$H$9</f>
        <v>831810</v>
      </c>
      <c r="F10" s="9">
        <f>'[1]Monitor Admin'!$H$10</f>
        <v>1427881</v>
      </c>
      <c r="G10" s="9"/>
      <c r="H10" s="9"/>
      <c r="I10" s="9"/>
      <c r="J10" s="13">
        <f>MIN(Comparación_precios2[[#This Row],[PROVEEDOR 1]:[PROVEEDOR 6]])</f>
        <v>831810</v>
      </c>
      <c r="K10" s="8">
        <f>IFERROR(AVERAGE(Comparación_precios2[[#This Row],[PROVEEDOR 1]:[PROVEEDOR 6]]),0)</f>
        <v>1036966</v>
      </c>
      <c r="L10" s="14">
        <f>MAX(Comparación_precios2[[#This Row],[PROVEEDOR 1]:[PROVEEDOR 6]])</f>
        <v>1427881</v>
      </c>
    </row>
    <row r="11" spans="2:14" s="7" customFormat="1" ht="150" customHeight="1" thickBot="1" x14ac:dyDescent="0.3">
      <c r="B11" s="57" t="str">
        <f>'[1]Monitor Admin'!$D$8</f>
        <v>Monitor Curvo 27 Fhd Diseño Sin Bordes Color Black 100V/240V</v>
      </c>
      <c r="C11" s="32">
        <v>1</v>
      </c>
      <c r="D11" s="9">
        <f>'[1]Monitor Admin'!$H$8</f>
        <v>851207</v>
      </c>
      <c r="E11" s="9">
        <f>'[1]Monitor Admin'!$H$9</f>
        <v>831810</v>
      </c>
      <c r="F11" s="9">
        <f>'[1]Monitor Admin'!$H$10</f>
        <v>1427881</v>
      </c>
      <c r="G11" s="9"/>
      <c r="H11" s="9"/>
      <c r="I11" s="9"/>
      <c r="J11" s="13">
        <f>MIN(Comparación_precios2[[#This Row],[PROVEEDOR 1]:[PROVEEDOR 6]])</f>
        <v>831810</v>
      </c>
      <c r="K11" s="8">
        <f>IFERROR(AVERAGE(Comparación_precios2[[#This Row],[PROVEEDOR 1]:[PROVEEDOR 6]]),0)</f>
        <v>1036966</v>
      </c>
      <c r="L11" s="14">
        <f>MAX(Comparación_precios2[[#This Row],[PROVEEDOR 1]:[PROVEEDOR 6]])</f>
        <v>1427881</v>
      </c>
    </row>
    <row r="12" spans="2:14" s="7" customFormat="1" ht="69.75" thickBot="1" x14ac:dyDescent="0.3">
      <c r="B12" s="57" t="str">
        <f>'[1]DiscoSolido Admin'!$D$8</f>
        <v>Disco sólido SSD interno Crucial CT500BX500SSD1 500GB negro</v>
      </c>
      <c r="C12" s="32">
        <v>1</v>
      </c>
      <c r="D12" s="9">
        <f>'[1]DiscoSolido Admin'!$H$8</f>
        <v>190281</v>
      </c>
      <c r="E12" s="9">
        <f>'[1]DiscoSolido Admin'!$H$9</f>
        <v>654381</v>
      </c>
      <c r="F12" s="9">
        <f>'[1]DiscoSolido Admin'!$H$10</f>
        <v>362831</v>
      </c>
      <c r="G12" s="9"/>
      <c r="H12" s="9"/>
      <c r="I12" s="9"/>
      <c r="J12" s="13">
        <f>MIN(Comparación_precios2[[#This Row],[PROVEEDOR 1]:[PROVEEDOR 6]])</f>
        <v>190281</v>
      </c>
      <c r="K12" s="8">
        <f>IFERROR(AVERAGE(Comparación_precios2[[#This Row],[PROVEEDOR 1]:[PROVEEDOR 6]]),0)</f>
        <v>402497.66666666669</v>
      </c>
      <c r="L12" s="14">
        <f>MAX(Comparación_precios2[[#This Row],[PROVEEDOR 1]:[PROVEEDOR 6]])</f>
        <v>654381</v>
      </c>
    </row>
    <row r="13" spans="2:14" s="7" customFormat="1" ht="69.75" thickBot="1" x14ac:dyDescent="0.3">
      <c r="B13" s="57" t="str">
        <f>'[1]Disco duro interno Admin'!$D$8</f>
        <v>Disco sólido SSD interno Kingston SA400S37/240GB Negro</v>
      </c>
      <c r="C13" s="32">
        <v>1</v>
      </c>
      <c r="D13" s="9">
        <f>'[1]Disco duro interno Admin'!$H$8</f>
        <v>223380</v>
      </c>
      <c r="E13" s="9">
        <f>'[1]Disco duro interno Admin'!$H$9</f>
        <v>875781</v>
      </c>
      <c r="F13" s="9">
        <f>'[1]Disco duro interno Admin'!$H$10</f>
        <v>481800</v>
      </c>
      <c r="G13" s="9"/>
      <c r="H13" s="9"/>
      <c r="I13" s="9"/>
      <c r="J13" s="13">
        <f>MIN(Comparación_precios2[[#This Row],[PROVEEDOR 1]:[PROVEEDOR 6]])</f>
        <v>223380</v>
      </c>
      <c r="K13" s="8">
        <f>IFERROR(AVERAGE(Comparación_precios2[[#This Row],[PROVEEDOR 1]:[PROVEEDOR 6]]),0)</f>
        <v>526987</v>
      </c>
      <c r="L13" s="14">
        <f>MAX(Comparación_precios2[[#This Row],[PROVEEDOR 1]:[PROVEEDOR 6]])</f>
        <v>875781</v>
      </c>
    </row>
    <row r="14" spans="2:14" s="7" customFormat="1" ht="165" customHeight="1" thickBot="1" x14ac:dyDescent="0.3">
      <c r="B14" s="57" t="str">
        <f>'[1]Servidor Admin'!$D$8</f>
        <v>Poweredge T150 - Tower Server/ Intel Xeon E-2336g/16gb/2tb</v>
      </c>
      <c r="C14" s="32">
        <v>1</v>
      </c>
      <c r="D14" s="9">
        <f>'[1]Servidor Admin'!$H$8</f>
        <v>18396000</v>
      </c>
      <c r="E14" s="9">
        <f>'[1]Servidor Admin'!$H$9</f>
        <v>2627997.8099999996</v>
      </c>
      <c r="F14" s="9">
        <f>'[1]Servidor Admin'!$H$10</f>
        <v>2627997.8099999996</v>
      </c>
      <c r="G14" s="9"/>
      <c r="H14" s="9"/>
      <c r="I14" s="9"/>
      <c r="J14" s="13">
        <f>MIN(Comparación_precios2[[#This Row],[PROVEEDOR 1]:[PROVEEDOR 6]])</f>
        <v>2627997.8099999996</v>
      </c>
      <c r="K14" s="8">
        <f>IFERROR(AVERAGE(Comparación_precios2[[#This Row],[PROVEEDOR 1]:[PROVEEDOR 6]]),0)</f>
        <v>7883998.5399999991</v>
      </c>
      <c r="L14" s="14">
        <f>MAX(Comparación_precios2[[#This Row],[PROVEEDOR 1]:[PROVEEDOR 6]])</f>
        <v>18396000</v>
      </c>
    </row>
    <row r="15" spans="2:14" s="2" customFormat="1" ht="87" thickBot="1" x14ac:dyDescent="0.3">
      <c r="B15" s="57" t="str">
        <f>'[1]ram Admin'!$D$8</f>
        <v>MEMORIA RAM DDR4 16G 3200 CORSAIR VENGEANCE RGB RS</v>
      </c>
      <c r="C15" s="32">
        <v>1</v>
      </c>
      <c r="D15" s="9">
        <f>'[1]ram Admin'!$H$8</f>
        <v>873810</v>
      </c>
      <c r="E15" s="9">
        <f>'[1]ram Admin'!$H$9</f>
        <v>394285.41000000003</v>
      </c>
      <c r="F15" s="9">
        <f>'[1]ram Admin'!$H$10</f>
        <v>216810</v>
      </c>
      <c r="G15" s="9"/>
      <c r="H15" s="9"/>
      <c r="I15" s="9"/>
      <c r="J15" s="27">
        <f>MIN(Comparación_precios2[[#This Row],[PROVEEDOR 1]:[PROVEEDOR 6]])</f>
        <v>216810</v>
      </c>
      <c r="K15" s="28">
        <f>IFERROR(AVERAGE(Comparación_precios2[[#This Row],[PROVEEDOR 1]:[PROVEEDOR 6]]),0)</f>
        <v>494968.47000000003</v>
      </c>
      <c r="L15" s="29">
        <f>MAX(Comparación_precios2[[#This Row],[PROVEEDOR 1]:[PROVEEDOR 6]])</f>
        <v>873810</v>
      </c>
    </row>
    <row r="16" spans="2:14" s="2" customFormat="1" ht="69.75" thickBot="1" x14ac:dyDescent="0.3">
      <c r="B16" s="58" t="str">
        <f>'[1]Teclado Admin'!$D$8</f>
        <v>Combo Dell Wireless Km3322w Teclado + Mouse</v>
      </c>
      <c r="C16" s="46">
        <v>1</v>
      </c>
      <c r="D16" s="45">
        <f>'[1]Teclado Admin'!$H$8</f>
        <v>185904.72</v>
      </c>
      <c r="E16" s="45">
        <f>'[1]Teclado Admin'!$H$9</f>
        <v>131181</v>
      </c>
      <c r="F16" s="45">
        <f>'[1]Teclado Admin'!$H$10</f>
        <v>1204281</v>
      </c>
      <c r="G16" s="45"/>
      <c r="H16" s="45"/>
      <c r="I16" s="45"/>
      <c r="J16" s="27">
        <f>MIN(Comparación_precios2[[#This Row],[PROVEEDOR 1]:[PROVEEDOR 6]])</f>
        <v>131181</v>
      </c>
      <c r="K16" s="8">
        <f>IFERROR(AVERAGE(Comparación_precios2[[#This Row],[PROVEEDOR 1]:[PROVEEDOR 6]]),0)</f>
        <v>507122.24</v>
      </c>
      <c r="L16" s="14">
        <f>MAX(Comparación_precios2[[#This Row],[PROVEEDOR 1]:[PROVEEDOR 6]])</f>
        <v>1204281</v>
      </c>
    </row>
    <row r="17" spans="2:12" s="2" customFormat="1" ht="104.25" thickBot="1" x14ac:dyDescent="0.3">
      <c r="B17" s="58" t="str">
        <f>'[1]Mause Admin'!$D$8</f>
        <v>Mouse gamer vertical inalámbrico recargable Weibo WB-881 negro</v>
      </c>
      <c r="C17" s="46">
        <v>1</v>
      </c>
      <c r="D17" s="45">
        <f>'[1]Mause Admin'!$H$8</f>
        <v>64911.599999999991</v>
      </c>
      <c r="E17" s="45">
        <f>'[1]Mause Admin'!$H$9</f>
        <v>59130</v>
      </c>
      <c r="F17" s="45">
        <f>'[1]Mause Admin'!$H$10</f>
        <v>319521</v>
      </c>
      <c r="G17" s="45"/>
      <c r="H17" s="45"/>
      <c r="I17" s="45"/>
      <c r="J17" s="27">
        <f>MIN(Comparación_precios2[[#This Row],[PROVEEDOR 1]:[PROVEEDOR 6]])</f>
        <v>59130</v>
      </c>
      <c r="K17" s="8">
        <f>IFERROR(AVERAGE(Comparación_precios2[[#This Row],[PROVEEDOR 1]:[PROVEEDOR 6]]),0)</f>
        <v>147854.19999999998</v>
      </c>
      <c r="L17" s="14">
        <f>MAX(Comparación_precios2[[#This Row],[PROVEEDOR 1]:[PROVEEDOR 6]])</f>
        <v>319521</v>
      </c>
    </row>
    <row r="18" spans="2:12" s="2" customFormat="1" ht="69.75" thickBot="1" x14ac:dyDescent="0.3">
      <c r="B18" s="58" t="str">
        <f>'[1]windows 11 licencia'!$D$8</f>
        <v xml:space="preserve">Licencia Windows 11 Pro ESD Vitalicia
</v>
      </c>
      <c r="C18" s="46">
        <v>1</v>
      </c>
      <c r="D18" s="45">
        <f>'[1]windows 11 licencia'!$H$8</f>
        <v>1724462.94</v>
      </c>
      <c r="E18" s="45">
        <f>'[1]windows 11 licencia'!$H$9</f>
        <v>941700</v>
      </c>
      <c r="F18" s="45">
        <f>'[1]windows 11 licencia'!$H$10</f>
        <v>1177199.46</v>
      </c>
      <c r="G18" s="45"/>
      <c r="H18" s="45"/>
      <c r="I18" s="45"/>
      <c r="J18" s="27">
        <f>MIN(Comparación_precios2[[#This Row],[PROVEEDOR 1]:[PROVEEDOR 6]])</f>
        <v>941700</v>
      </c>
      <c r="K18" s="28">
        <f>IFERROR(AVERAGE(Comparación_precios2[[#This Row],[PROVEEDOR 1]:[PROVEEDOR 6]]),0)</f>
        <v>1281120.8</v>
      </c>
      <c r="L18" s="29">
        <f>MAX(Comparación_precios2[[#This Row],[PROVEEDOR 1]:[PROVEEDOR 6]])</f>
        <v>1724462.94</v>
      </c>
    </row>
    <row r="19" spans="2:12" s="2" customFormat="1" ht="19.5" thickBot="1" x14ac:dyDescent="0.3">
      <c r="B19" s="42"/>
      <c r="C19" s="43"/>
      <c r="D19" s="44"/>
      <c r="E19" s="44"/>
      <c r="F19" s="44"/>
      <c r="G19" s="44"/>
      <c r="H19" s="42"/>
      <c r="I19" s="56"/>
      <c r="J19" s="27">
        <f>MIN(Comparación_precios2[[#This Row],[PROVEEDOR 1]:[PROVEEDOR 6]])</f>
        <v>0</v>
      </c>
      <c r="K19" s="8">
        <f>IFERROR(AVERAGE(Comparación_precios2[[#This Row],[PROVEEDOR 1]:[PROVEEDOR 6]]),0)</f>
        <v>0</v>
      </c>
      <c r="L19" s="14">
        <f>MAX(Comparación_precios2[[#This Row],[PROVEEDOR 1]:[PROVEEDOR 6]])</f>
        <v>0</v>
      </c>
    </row>
    <row r="20" spans="2:12" s="2" customFormat="1" ht="19.5" thickBot="1" x14ac:dyDescent="0.3">
      <c r="B20" s="42"/>
      <c r="C20" s="43"/>
      <c r="D20" s="44"/>
      <c r="E20" s="44"/>
      <c r="F20" s="44"/>
      <c r="G20" s="44"/>
      <c r="H20" s="42"/>
      <c r="I20" s="56"/>
      <c r="J20" s="27">
        <f>MIN(Comparación_precios2[[#This Row],[PROVEEDOR 1]:[PROVEEDOR 6]])</f>
        <v>0</v>
      </c>
      <c r="K20" s="8">
        <f>IFERROR(AVERAGE(Comparación_precios2[[#This Row],[PROVEEDOR 1]:[PROVEEDOR 6]]),0)</f>
        <v>0</v>
      </c>
      <c r="L20" s="14">
        <f>MAX(Comparación_precios2[[#This Row],[PROVEEDOR 1]:[PROVEEDOR 6]])</f>
        <v>0</v>
      </c>
    </row>
    <row r="21" spans="2:12" s="2" customFormat="1" ht="19.5" thickBot="1" x14ac:dyDescent="0.3">
      <c r="B21" s="42"/>
      <c r="C21" s="43"/>
      <c r="D21" s="44"/>
      <c r="E21" s="44"/>
      <c r="F21" s="44"/>
      <c r="G21" s="44"/>
      <c r="H21" s="42"/>
      <c r="I21" s="56"/>
      <c r="J21" s="27">
        <f>MIN(Comparación_precios2[[#This Row],[PROVEEDOR 1]:[PROVEEDOR 6]])</f>
        <v>0</v>
      </c>
      <c r="K21" s="8">
        <f>IFERROR(AVERAGE(Comparación_precios2[[#This Row],[PROVEEDOR 1]:[PROVEEDOR 6]]),0)</f>
        <v>0</v>
      </c>
      <c r="L21" s="14">
        <f>MAX(Comparación_precios2[[#This Row],[PROVEEDOR 1]:[PROVEEDOR 6]])</f>
        <v>0</v>
      </c>
    </row>
    <row r="22" spans="2:12" s="2" customFormat="1" ht="19.5" thickBot="1" x14ac:dyDescent="0.3">
      <c r="B22" s="42"/>
      <c r="C22" s="43"/>
      <c r="D22" s="44"/>
      <c r="E22" s="44"/>
      <c r="F22" s="44"/>
      <c r="G22" s="44"/>
      <c r="H22" s="42"/>
      <c r="I22" s="56"/>
      <c r="J22" s="27">
        <f>MIN(Comparación_precios2[[#This Row],[PROVEEDOR 1]:[PROVEEDOR 6]])</f>
        <v>0</v>
      </c>
      <c r="K22" s="8">
        <f>IFERROR(AVERAGE(Comparación_precios2[[#This Row],[PROVEEDOR 1]:[PROVEEDOR 6]]),0)</f>
        <v>0</v>
      </c>
      <c r="L22" s="14">
        <f>MAX(Comparación_precios2[[#This Row],[PROVEEDOR 1]:[PROVEEDOR 6]])</f>
        <v>0</v>
      </c>
    </row>
    <row r="23" spans="2:12" s="2" customFormat="1" ht="19.5" thickBot="1" x14ac:dyDescent="0.3">
      <c r="B23" s="42"/>
      <c r="C23" s="43"/>
      <c r="D23" s="44"/>
      <c r="E23" s="44"/>
      <c r="F23" s="44"/>
      <c r="G23" s="44"/>
      <c r="H23" s="42"/>
      <c r="I23" s="56"/>
      <c r="J23" s="27">
        <f>MIN(Comparación_precios2[[#This Row],[PROVEEDOR 1]:[PROVEEDOR 6]])</f>
        <v>0</v>
      </c>
      <c r="K23" s="8">
        <f>IFERROR(AVERAGE(Comparación_precios2[[#This Row],[PROVEEDOR 1]:[PROVEEDOR 6]]),0)</f>
        <v>0</v>
      </c>
      <c r="L23" s="14">
        <f>MAX(Comparación_precios2[[#This Row],[PROVEEDOR 1]:[PROVEEDOR 6]])</f>
        <v>0</v>
      </c>
    </row>
    <row r="24" spans="2:12" s="2" customFormat="1" ht="19.5" thickBot="1" x14ac:dyDescent="0.3">
      <c r="B24" s="42"/>
      <c r="C24" s="43"/>
      <c r="D24" s="44"/>
      <c r="E24" s="44"/>
      <c r="F24" s="44"/>
      <c r="G24" s="44"/>
      <c r="H24" s="42"/>
      <c r="I24" s="56"/>
      <c r="J24" s="27">
        <f>MIN(Comparación_precios2[[#This Row],[PROVEEDOR 1]:[PROVEEDOR 6]])</f>
        <v>0</v>
      </c>
      <c r="K24" s="8">
        <f>IFERROR(AVERAGE(Comparación_precios2[[#This Row],[PROVEEDOR 1]:[PROVEEDOR 6]]),0)</f>
        <v>0</v>
      </c>
      <c r="L24" s="14">
        <f>MAX(Comparación_precios2[[#This Row],[PROVEEDOR 1]:[PROVEEDOR 6]])</f>
        <v>0</v>
      </c>
    </row>
    <row r="25" spans="2:12" s="2" customFormat="1" ht="19.5" thickBot="1" x14ac:dyDescent="0.3">
      <c r="B25" s="42"/>
      <c r="C25" s="43"/>
      <c r="D25" s="44"/>
      <c r="E25" s="44"/>
      <c r="F25" s="44"/>
      <c r="G25" s="44"/>
      <c r="H25" s="42"/>
      <c r="I25" s="56"/>
      <c r="J25" s="27">
        <f>MIN(Comparación_precios2[[#This Row],[PROVEEDOR 1]:[PROVEEDOR 6]])</f>
        <v>0</v>
      </c>
      <c r="K25" s="8">
        <f>IFERROR(AVERAGE(Comparación_precios2[[#This Row],[PROVEEDOR 1]:[PROVEEDOR 6]]),0)</f>
        <v>0</v>
      </c>
      <c r="L25" s="14">
        <f>MAX(Comparación_precios2[[#This Row],[PROVEEDOR 1]:[PROVEEDOR 6]])</f>
        <v>0</v>
      </c>
    </row>
    <row r="26" spans="2:12" s="2" customFormat="1" ht="19.5" thickBot="1" x14ac:dyDescent="0.3">
      <c r="B26" s="33" t="s">
        <v>15</v>
      </c>
      <c r="C26" s="33"/>
      <c r="D26" s="34">
        <f>ROUND(SUMPRODUCT(Comparación_precios2[[CANTIDAD]:[CANTIDAD]],Comparación_precios2[PROVEEDOR 1]),2)</f>
        <v>25060522.260000002</v>
      </c>
      <c r="E26" s="34">
        <f>ROUND(SUMPRODUCT(Comparación_precios2[[CANTIDAD]:[CANTIDAD]],Comparación_precios2[PROVEEDOR 2]),2)</f>
        <v>8881974.3200000003</v>
      </c>
      <c r="F26" s="34">
        <f>ROUND(SUMPRODUCT(Comparación_precios2[[CANTIDAD]:[CANTIDAD]],Comparación_precios2[PROVEEDOR 3]),2)</f>
        <v>11735563.27</v>
      </c>
      <c r="G26" s="34">
        <f>ROUND(SUMPRODUCT(Comparación_precios2[[CANTIDAD]:[CANTIDAD]],Comparación_precios2[PROVEEDOR 4]),2)</f>
        <v>0</v>
      </c>
      <c r="H26" s="34">
        <f>ROUND(SUMPRODUCT(Comparación_precios2[[CANTIDAD]:[CANTIDAD]],Comparación_precios2[PROVEEDOR 5]),2)</f>
        <v>0</v>
      </c>
      <c r="I26" s="34">
        <f>ROUND(SUMPRODUCT(Comparación_precios2[[CANTIDAD]:[CANTIDAD]],Comparación_precios2[PROVEEDOR 6]),2)</f>
        <v>0</v>
      </c>
      <c r="J26" s="35"/>
      <c r="K26" s="35"/>
      <c r="L26" s="36"/>
    </row>
    <row r="27" spans="2:12" s="2" customFormat="1" x14ac:dyDescent="0.2">
      <c r="B27" s="1"/>
      <c r="C27" s="1"/>
      <c r="D27" s="1"/>
      <c r="E27" s="1"/>
      <c r="F27" s="1"/>
      <c r="G27" s="1"/>
      <c r="H27" s="1"/>
      <c r="I27" s="1"/>
      <c r="J27" s="1"/>
      <c r="K27" s="3"/>
      <c r="L27" s="3"/>
    </row>
    <row r="28" spans="2:12" s="2" customFormat="1" ht="48.6" customHeight="1" thickBot="1" x14ac:dyDescent="0.25">
      <c r="B28" s="1"/>
      <c r="C28" s="1"/>
      <c r="D28" s="1"/>
      <c r="E28" s="1"/>
      <c r="F28" s="1"/>
      <c r="G28" s="1"/>
      <c r="H28" s="1"/>
      <c r="I28" s="1"/>
      <c r="J28" s="1"/>
      <c r="K28" s="3"/>
      <c r="L28" s="3"/>
    </row>
    <row r="29" spans="2:12" s="2" customFormat="1" ht="33.6" customHeight="1" x14ac:dyDescent="0.2">
      <c r="B29" s="79" t="s">
        <v>16</v>
      </c>
      <c r="C29" s="80"/>
      <c r="D29" s="21"/>
      <c r="E29" s="21"/>
      <c r="F29" s="21"/>
      <c r="G29" s="21"/>
      <c r="H29" s="21"/>
    </row>
    <row r="30" spans="2:12" s="2" customFormat="1" ht="25.9" customHeight="1" x14ac:dyDescent="0.2">
      <c r="B30" s="81" t="s">
        <v>17</v>
      </c>
      <c r="C30" s="82"/>
      <c r="D30" s="67" t="s">
        <v>18</v>
      </c>
      <c r="E30" s="66" t="s">
        <v>19</v>
      </c>
      <c r="F30" s="73" t="s">
        <v>20</v>
      </c>
      <c r="G30" s="72" t="s">
        <v>21</v>
      </c>
      <c r="H30" s="66" t="s">
        <v>22</v>
      </c>
      <c r="I30" s="15" t="s">
        <v>23</v>
      </c>
    </row>
    <row r="31" spans="2:12" s="2" customFormat="1" ht="18" customHeight="1" x14ac:dyDescent="0.2">
      <c r="B31" s="81" t="s">
        <v>24</v>
      </c>
      <c r="C31" s="82"/>
      <c r="D31" s="65">
        <v>0</v>
      </c>
      <c r="E31" s="71" t="s">
        <v>25</v>
      </c>
      <c r="F31" s="22" t="s">
        <v>26</v>
      </c>
      <c r="G31" s="74">
        <v>0</v>
      </c>
      <c r="H31" s="22" t="s">
        <v>27</v>
      </c>
      <c r="I31" s="22">
        <v>0</v>
      </c>
    </row>
    <row r="32" spans="2:12" s="2" customFormat="1" ht="18.75" x14ac:dyDescent="0.2">
      <c r="B32" s="81" t="s">
        <v>28</v>
      </c>
      <c r="C32" s="82"/>
      <c r="D32" s="49"/>
      <c r="E32" s="23"/>
      <c r="F32" s="23"/>
      <c r="G32" s="23"/>
      <c r="H32" s="23"/>
      <c r="I32" s="23"/>
    </row>
    <row r="33" spans="2:12" s="2" customFormat="1" ht="18.75" x14ac:dyDescent="0.2">
      <c r="B33" s="81"/>
      <c r="C33" s="82"/>
      <c r="D33" s="50"/>
      <c r="E33" s="63"/>
      <c r="F33" s="63"/>
      <c r="G33" s="63"/>
      <c r="H33" s="63"/>
      <c r="I33" s="63"/>
    </row>
    <row r="34" spans="2:12" ht="18.75" x14ac:dyDescent="0.2">
      <c r="B34" s="81"/>
      <c r="C34" s="82"/>
      <c r="D34" s="70" t="s">
        <v>29</v>
      </c>
      <c r="E34" s="64" t="s">
        <v>29</v>
      </c>
      <c r="F34" s="64" t="s">
        <v>29</v>
      </c>
      <c r="G34" s="64" t="s">
        <v>29</v>
      </c>
      <c r="H34" s="64" t="s">
        <v>29</v>
      </c>
      <c r="I34" s="64" t="s">
        <v>29</v>
      </c>
      <c r="J34" s="2"/>
      <c r="K34" s="2"/>
      <c r="L34" s="2"/>
    </row>
    <row r="35" spans="2:12" ht="22.5" x14ac:dyDescent="0.25">
      <c r="B35" s="81"/>
      <c r="C35" s="82"/>
      <c r="D35" s="68"/>
      <c r="E35" s="69"/>
      <c r="F35" s="26"/>
      <c r="G35" s="26"/>
      <c r="H35" s="26"/>
      <c r="I35" s="26"/>
      <c r="J35" s="2"/>
      <c r="K35" s="1"/>
      <c r="L35" s="1"/>
    </row>
    <row r="36" spans="2:12" x14ac:dyDescent="0.2">
      <c r="J36" s="3"/>
      <c r="K36" s="1"/>
      <c r="L36" s="1"/>
    </row>
    <row r="37" spans="2:12" x14ac:dyDescent="0.2">
      <c r="J37" s="3"/>
      <c r="K37" s="1"/>
      <c r="L37" s="1"/>
    </row>
    <row r="38" spans="2:12" ht="18.75" x14ac:dyDescent="0.2">
      <c r="D38" s="37"/>
      <c r="E38" s="37"/>
      <c r="F38" s="38"/>
      <c r="G38" s="39"/>
      <c r="H38" s="40"/>
      <c r="I38" s="37"/>
      <c r="J38" s="3"/>
      <c r="K38" s="1"/>
      <c r="L38" s="1"/>
    </row>
    <row r="39" spans="2:12" ht="18.75" x14ac:dyDescent="0.2">
      <c r="D39" s="37"/>
      <c r="E39" s="37"/>
      <c r="F39" s="38"/>
      <c r="G39" s="41"/>
      <c r="H39" s="40"/>
      <c r="I39" s="37"/>
    </row>
    <row r="40" spans="2:12" ht="18.75" x14ac:dyDescent="0.2">
      <c r="D40" s="37"/>
      <c r="E40" s="37"/>
      <c r="F40" s="38"/>
      <c r="G40" s="41"/>
      <c r="H40" s="40"/>
      <c r="I40" s="37"/>
    </row>
    <row r="41" spans="2:12" ht="18.75" x14ac:dyDescent="0.2">
      <c r="D41" s="37"/>
      <c r="E41" s="37"/>
      <c r="F41" s="38"/>
      <c r="G41" s="41"/>
      <c r="H41" s="40"/>
      <c r="I41" s="37"/>
    </row>
    <row r="42" spans="2:12" ht="18.75" x14ac:dyDescent="0.2">
      <c r="D42" s="37"/>
      <c r="E42" s="37"/>
      <c r="F42" s="38"/>
      <c r="G42" s="41"/>
      <c r="H42" s="40"/>
      <c r="I42" s="37"/>
    </row>
    <row r="43" spans="2:12" ht="18.75" x14ac:dyDescent="0.2">
      <c r="D43" s="37"/>
      <c r="E43" s="37"/>
      <c r="F43" s="38"/>
      <c r="G43" s="41"/>
      <c r="H43" s="40"/>
      <c r="I43" s="37"/>
    </row>
  </sheetData>
  <mergeCells count="5">
    <mergeCell ref="J7:L7"/>
    <mergeCell ref="B29:C29"/>
    <mergeCell ref="B30:C30"/>
    <mergeCell ref="B31:C31"/>
    <mergeCell ref="B32:C35"/>
  </mergeCells>
  <conditionalFormatting sqref="B8:C9 D26:I26">
    <cfRule type="expression" dxfId="6" priority="1">
      <formula>AND(B$26=MIN($D$26:$I$26),B$26&lt;&gt;0)</formula>
    </cfRule>
  </conditionalFormatting>
  <conditionalFormatting sqref="D8:I9">
    <cfRule type="expression" dxfId="5" priority="2">
      <formula>AND(D$26=MIN($D$26:$I$26),D$26&lt;&gt;0)</formula>
    </cfRule>
  </conditionalFormatting>
  <conditionalFormatting sqref="D9:I25">
    <cfRule type="expression" dxfId="4" priority="3">
      <formula>AND(D$26=MIN($D$26:$I$26),D$26&lt;&gt;0)</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42"/>
  <sheetViews>
    <sheetView showGridLines="0" topLeftCell="B14" zoomScale="90" zoomScaleNormal="90" workbookViewId="0">
      <selection activeCell="J9" sqref="J9"/>
    </sheetView>
  </sheetViews>
  <sheetFormatPr defaultColWidth="9.26953125" defaultRowHeight="14.25" x14ac:dyDescent="0.2"/>
  <cols>
    <col min="1" max="1" width="4.04296875" style="1" customWidth="1"/>
    <col min="2" max="2" width="23.4296875" style="1" customWidth="1"/>
    <col min="3" max="3" width="31.51953125" style="1" customWidth="1"/>
    <col min="4" max="4" width="24.9453125" style="1" bestFit="1" customWidth="1"/>
    <col min="5" max="5" width="34.38671875" style="1" customWidth="1"/>
    <col min="6" max="6" width="25.11328125" style="1" bestFit="1" customWidth="1"/>
    <col min="7" max="8" width="22.25" style="1" bestFit="1" customWidth="1"/>
    <col min="9" max="9" width="22.25" style="1" customWidth="1"/>
    <col min="10" max="10" width="31.18359375" style="1" customWidth="1"/>
    <col min="11" max="11" width="23.4296875" style="3" customWidth="1"/>
    <col min="12" max="12" width="24.77734375" style="3" customWidth="1"/>
    <col min="13" max="13" width="20.5625" style="1" customWidth="1"/>
    <col min="14" max="14" width="20.73046875" style="1" customWidth="1"/>
    <col min="15" max="16384" width="9.26953125" style="1"/>
  </cols>
  <sheetData>
    <row r="1" spans="2:14" ht="15" customHeight="1" x14ac:dyDescent="0.2"/>
    <row r="2" spans="2:14" customFormat="1" ht="54.95" customHeight="1" x14ac:dyDescent="0.1">
      <c r="B2" s="5"/>
      <c r="C2" s="5"/>
      <c r="D2" s="5"/>
      <c r="E2" s="5"/>
      <c r="F2" s="5"/>
      <c r="G2" s="5"/>
      <c r="H2" s="5"/>
      <c r="I2" s="30"/>
      <c r="J2" s="30"/>
      <c r="K2" s="30"/>
      <c r="L2" s="30"/>
    </row>
    <row r="3" spans="2:14" ht="15" customHeight="1" x14ac:dyDescent="0.2"/>
    <row r="4" spans="2:14" ht="15" customHeight="1" x14ac:dyDescent="0.2"/>
    <row r="5" spans="2:14" ht="29.25" x14ac:dyDescent="0.2">
      <c r="B5" s="16" t="s">
        <v>1</v>
      </c>
      <c r="C5" s="16"/>
    </row>
    <row r="6" spans="2:14" ht="30" thickBot="1" x14ac:dyDescent="0.25">
      <c r="B6" s="17" t="s">
        <v>2</v>
      </c>
      <c r="C6" s="17"/>
      <c r="D6" s="16"/>
      <c r="E6" s="16"/>
      <c r="F6" s="16"/>
      <c r="G6" s="16"/>
      <c r="H6" s="16"/>
      <c r="I6" s="16"/>
      <c r="J6" s="4"/>
      <c r="K6" s="4"/>
      <c r="L6" s="4"/>
      <c r="M6" s="4"/>
      <c r="N6" s="4"/>
    </row>
    <row r="7" spans="2:14" ht="24.75" customHeight="1" thickBot="1" x14ac:dyDescent="0.25">
      <c r="J7" s="76" t="s">
        <v>3</v>
      </c>
      <c r="K7" s="77"/>
      <c r="L7" s="78"/>
    </row>
    <row r="8" spans="2:14" s="6" customFormat="1" ht="46.5" customHeight="1" thickBot="1" x14ac:dyDescent="0.3">
      <c r="B8" s="31" t="s">
        <v>4</v>
      </c>
      <c r="C8" s="31" t="s">
        <v>5</v>
      </c>
      <c r="D8" s="31" t="s">
        <v>6</v>
      </c>
      <c r="E8" s="31" t="s">
        <v>7</v>
      </c>
      <c r="F8" s="31" t="s">
        <v>8</v>
      </c>
      <c r="G8" s="31" t="s">
        <v>9</v>
      </c>
      <c r="H8" s="31" t="s">
        <v>10</v>
      </c>
      <c r="I8" s="31" t="s">
        <v>11</v>
      </c>
      <c r="J8" s="11" t="s">
        <v>12</v>
      </c>
      <c r="K8" s="10" t="s">
        <v>13</v>
      </c>
      <c r="L8" s="12" t="s">
        <v>14</v>
      </c>
    </row>
    <row r="9" spans="2:14" s="7" customFormat="1" ht="69.75" thickBot="1" x14ac:dyDescent="0.3">
      <c r="B9" s="57" t="str">
        <f>'[1]Portatil Nosotros'!$D$8</f>
        <v>Portatil Lenovo Ryzen 7 5825u Ram 24gb Solido 512gb Fhd</v>
      </c>
      <c r="C9" s="32">
        <v>3</v>
      </c>
      <c r="D9" s="9">
        <f>'[1]Monitor Nosotros'!$H$8*3</f>
        <v>7226343</v>
      </c>
      <c r="E9" s="9">
        <f>'[1]Portatil Nosotros'!$H$9*3</f>
        <v>12147930</v>
      </c>
      <c r="F9" s="9">
        <f>'[1]Monitor Nosotros'!$H$10 *3</f>
        <v>9906134.3100000005</v>
      </c>
      <c r="G9" s="9"/>
      <c r="H9" s="9"/>
      <c r="I9" s="9"/>
      <c r="J9" s="13">
        <f>MIN(Comparación_precios24[[#This Row],[PROVEEDOR 1]:[PROVEEDOR 6]])</f>
        <v>7226343</v>
      </c>
      <c r="K9" s="8">
        <f>IFERROR(AVERAGE(Comparación_precios24[[#This Row],[PROVEEDOR 1]:[PROVEEDOR 6]]),0)</f>
        <v>9760135.7700000014</v>
      </c>
      <c r="L9" s="14">
        <f>MAX(Comparación_precios24[[#This Row],[PROVEEDOR 1]:[PROVEEDOR 6]])</f>
        <v>12147930</v>
      </c>
    </row>
    <row r="10" spans="2:14" s="7" customFormat="1" ht="87" thickBot="1" x14ac:dyDescent="0.3">
      <c r="B10" s="57" t="str">
        <f>'[1]Monitor Nosotros'!$D$8</f>
        <v>Monitor SAMSUNG Gamer 32" Pulgadas AG320 Plano Negro</v>
      </c>
      <c r="C10" s="32">
        <v>3</v>
      </c>
      <c r="D10" s="9">
        <f>'[1]Monitor Nosotros'!$H$8*3</f>
        <v>7226343</v>
      </c>
      <c r="E10" s="9">
        <f>'[1]Monitor Nosotros'!$H$9*3</f>
        <v>8632323</v>
      </c>
      <c r="F10" s="9">
        <f>'[1]Monitor Nosotros'!$H$10 *3</f>
        <v>9906134.3100000005</v>
      </c>
      <c r="G10" s="9"/>
      <c r="H10" s="9"/>
      <c r="I10" s="9"/>
      <c r="J10" s="13">
        <f>MIN(Comparación_precios24[[#This Row],[PROVEEDOR 1]:[PROVEEDOR 6]])</f>
        <v>7226343</v>
      </c>
      <c r="K10" s="8">
        <f>IFERROR(AVERAGE(Comparación_precios24[[#This Row],[PROVEEDOR 1]:[PROVEEDOR 6]]),0)</f>
        <v>8588266.7700000014</v>
      </c>
      <c r="L10" s="14">
        <f>MAX(Comparación_precios24[[#This Row],[PROVEEDOR 1]:[PROVEEDOR 6]])</f>
        <v>9906134.3100000005</v>
      </c>
    </row>
    <row r="11" spans="2:14" s="7" customFormat="1" ht="104.25" thickBot="1" x14ac:dyDescent="0.3">
      <c r="B11" s="57" t="str">
        <f>'[1] Disco mecanico Nosotros'!$D$8</f>
        <v>Disco Duro Interno Western Digital WD5000LPZX 2.5in 500gb Hdd Sata Iii Plata</v>
      </c>
      <c r="C11" s="32">
        <v>3</v>
      </c>
      <c r="D11" s="9">
        <f>'[1] Disco mecanico Nosotros'!$H$8*3</f>
        <v>373957.83</v>
      </c>
      <c r="E11" s="9">
        <f>'[1] Disco mecanico Nosotros'!$H$9*3</f>
        <v>1550520</v>
      </c>
      <c r="F11" s="9">
        <f>'[1] Disco mecanico Nosotros'!$H$10*3</f>
        <v>1307430</v>
      </c>
      <c r="G11" s="9"/>
      <c r="H11" s="9"/>
      <c r="I11" s="9"/>
      <c r="J11" s="13">
        <f>MIN(Comparación_precios24[[#This Row],[PROVEEDOR 1]:[PROVEEDOR 6]])</f>
        <v>373957.83</v>
      </c>
      <c r="K11" s="8">
        <f>IFERROR(AVERAGE(Comparación_precios24[[#This Row],[PROVEEDOR 1]:[PROVEEDOR 6]]),0)</f>
        <v>1077302.6100000001</v>
      </c>
      <c r="L11" s="14">
        <f>MAX(Comparación_precios24[[#This Row],[PROVEEDOR 1]:[PROVEEDOR 6]])</f>
        <v>1550520</v>
      </c>
    </row>
    <row r="12" spans="2:14" s="7" customFormat="1" ht="69.75" thickBot="1" x14ac:dyDescent="0.3">
      <c r="B12" s="57" t="str">
        <f>'[1] ram nosotros'!$D$8</f>
        <v>Memoria Ram Samsung 8gb Ddr3 1600mhz Portatil Laptop</v>
      </c>
      <c r="C12" s="32">
        <v>3</v>
      </c>
      <c r="D12" s="9">
        <f>'[1] ram nosotros'!$H$8*3</f>
        <v>331128</v>
      </c>
      <c r="E12" s="9">
        <f>'[1] ram nosotros'!$H$9*3</f>
        <v>5334840</v>
      </c>
      <c r="F12" s="9">
        <f>'[1] ram nosotros'!$H$10*3</f>
        <v>5334840</v>
      </c>
      <c r="G12" s="9"/>
      <c r="H12" s="9"/>
      <c r="I12" s="9"/>
      <c r="J12" s="13">
        <f>MIN(Comparación_precios24[[#This Row],[PROVEEDOR 1]:[PROVEEDOR 6]])</f>
        <v>331128</v>
      </c>
      <c r="K12" s="8">
        <f>IFERROR(AVERAGE(Comparación_precios24[[#This Row],[PROVEEDOR 1]:[PROVEEDOR 6]]),0)</f>
        <v>3666936</v>
      </c>
      <c r="L12" s="14">
        <f>MAX(Comparación_precios24[[#This Row],[PROVEEDOR 1]:[PROVEEDOR 6]])</f>
        <v>5334840</v>
      </c>
    </row>
    <row r="13" spans="2:14" s="7" customFormat="1" ht="240.75" thickBot="1" x14ac:dyDescent="0.3">
      <c r="B13" s="57" t="str">
        <f>'[1] Servidor Nosotros'!$D$8</f>
        <v>ZimaBoard 832 Router de servidor de una sola placa X86 Computadora de una sola placa Almacenamiento en la red en la nube personal Servidor multimedia 4K Puerta de enlace Gigabit dual - PCIe x4 SATA</v>
      </c>
      <c r="C13" s="32">
        <v>3</v>
      </c>
      <c r="D13" s="9">
        <f>'[1] Servidor Nosotros'!$H$8 *3</f>
        <v>5868954.7199999997</v>
      </c>
      <c r="E13" s="9">
        <f>'[1] Servidor Nosotros'!$H$9*3</f>
        <v>25294500</v>
      </c>
      <c r="F13" s="9">
        <f>'[1] Servidor Nosotros'!$H$10*3</f>
        <v>15767993.430000002</v>
      </c>
      <c r="G13" s="9"/>
      <c r="H13" s="9"/>
      <c r="I13" s="9"/>
      <c r="J13" s="13">
        <f>MIN(Comparación_precios24[[#This Row],[PROVEEDOR 1]:[PROVEEDOR 6]])</f>
        <v>5868954.7199999997</v>
      </c>
      <c r="K13" s="8">
        <f>IFERROR(AVERAGE(Comparación_precios24[[#This Row],[PROVEEDOR 1]:[PROVEEDOR 6]]),0)</f>
        <v>15643816.049999999</v>
      </c>
      <c r="L13" s="14">
        <f>MAX(Comparación_precios24[[#This Row],[PROVEEDOR 1]:[PROVEEDOR 6]])</f>
        <v>25294500</v>
      </c>
    </row>
    <row r="14" spans="2:14" s="7" customFormat="1" ht="52.5" thickBot="1" x14ac:dyDescent="0.3">
      <c r="B14" s="57" t="str">
        <f>'[1]Tarjeta de video nosotros'!$D$8</f>
        <v>Tarjeta De Video G210 1gb Ddr3 Hdmi Pci E</v>
      </c>
      <c r="C14" s="32">
        <v>3</v>
      </c>
      <c r="D14" s="9">
        <f>'[1]Tarjeta de video nosotros'!$H$8*3</f>
        <v>1248300</v>
      </c>
      <c r="E14" s="9">
        <f>'[1]Tarjeta de video nosotros'!$H$9*3</f>
        <v>4631850</v>
      </c>
      <c r="F14" s="9">
        <f>'[1]Tarjeta de video nosotros'!$H$10*3</f>
        <v>2825100</v>
      </c>
      <c r="G14" s="9"/>
      <c r="H14" s="9"/>
      <c r="I14" s="9"/>
      <c r="J14" s="27">
        <f>MIN(Comparación_precios24[[#This Row],[PROVEEDOR 1]:[PROVEEDOR 6]])</f>
        <v>1248300</v>
      </c>
      <c r="K14" s="28">
        <f>IFERROR(AVERAGE(Comparación_precios24[[#This Row],[PROVEEDOR 1]:[PROVEEDOR 6]]),0)</f>
        <v>2901750</v>
      </c>
      <c r="L14" s="29">
        <f>MAX(Comparación_precios24[[#This Row],[PROVEEDOR 1]:[PROVEEDOR 6]])</f>
        <v>4631850</v>
      </c>
    </row>
    <row r="15" spans="2:14" s="2" customFormat="1" ht="69.75" thickBot="1" x14ac:dyDescent="0.3">
      <c r="B15" s="58" t="str">
        <f>'[1]Procesador Nosotros'!$D$8</f>
        <v>Procesador Intel Core I5 14600k 3.5 Ghz Socket 1700</v>
      </c>
      <c r="C15" s="46">
        <v>3</v>
      </c>
      <c r="D15" s="45">
        <f>'[1]Procesador Nosotros'!$G$8*3</f>
        <v>2779.6153846153848</v>
      </c>
      <c r="E15" s="45">
        <f>'[1]Procesador Nosotros'!$H$9*3</f>
        <v>12450149.999999998</v>
      </c>
      <c r="F15" s="45">
        <f>'[1]Procesador Nosotros'!$H$10*3</f>
        <v>17259390</v>
      </c>
      <c r="G15" s="45"/>
      <c r="H15" s="45"/>
      <c r="I15" s="45"/>
      <c r="J15" s="27">
        <f>MIN(Comparación_precios24[[#This Row],[PROVEEDOR 1]:[PROVEEDOR 6]])</f>
        <v>2779.6153846153848</v>
      </c>
      <c r="K15" s="8">
        <f>IFERROR(AVERAGE(Comparación_precios24[[#This Row],[PROVEEDOR 1]:[PROVEEDOR 6]]),0)</f>
        <v>9904106.538461538</v>
      </c>
      <c r="L15" s="14">
        <f>MAX(Comparación_precios24[[#This Row],[PROVEEDOR 1]:[PROVEEDOR 6]])</f>
        <v>17259390</v>
      </c>
    </row>
    <row r="16" spans="2:14" s="2" customFormat="1" ht="69.75" thickBot="1" x14ac:dyDescent="0.3">
      <c r="B16" s="58" t="str">
        <f>'[1]Teclado Admin'!$D$8</f>
        <v>Combo Dell Wireless Km3322w Teclado + Mouse</v>
      </c>
      <c r="C16" s="46">
        <v>3</v>
      </c>
      <c r="D16" s="45">
        <f>'[1]Teclado nosostros '!$H$8*3</f>
        <v>722043</v>
      </c>
      <c r="E16" s="45">
        <f>'[1]Teclado nosostros '!$H$9*3</f>
        <v>591300</v>
      </c>
      <c r="F16" s="45">
        <f>'[1]Teclado nosostros '!$H$10*3</f>
        <v>302220</v>
      </c>
      <c r="G16" s="45"/>
      <c r="H16" s="45"/>
      <c r="I16" s="45"/>
      <c r="J16" s="27">
        <f>MIN(Comparación_precios24[[#This Row],[PROVEEDOR 1]:[PROVEEDOR 6]])</f>
        <v>302220</v>
      </c>
      <c r="K16" s="8">
        <f>IFERROR(AVERAGE(Comparación_precios24[[#This Row],[PROVEEDOR 1]:[PROVEEDOR 6]]),0)</f>
        <v>538521</v>
      </c>
      <c r="L16" s="14">
        <f>MAX(Comparación_precios24[[#This Row],[PROVEEDOR 1]:[PROVEEDOR 6]])</f>
        <v>722043</v>
      </c>
    </row>
    <row r="17" spans="2:12" s="2" customFormat="1" ht="104.25" thickBot="1" x14ac:dyDescent="0.3">
      <c r="B17" s="58" t="str">
        <f>'[1]Mause Admin'!$D$8</f>
        <v>Mouse gamer vertical inalámbrico recargable Weibo WB-881 negro</v>
      </c>
      <c r="C17" s="46">
        <v>3</v>
      </c>
      <c r="D17" s="45">
        <f>'[1]Muse nosotros'!$H$8*3</f>
        <v>620405.10000000009</v>
      </c>
      <c r="E17" s="45">
        <f>'[1]Muse nosotros'!$H$9*3</f>
        <v>432963</v>
      </c>
      <c r="F17" s="45">
        <f>'[1]Muse nosotros'!$H$10*3</f>
        <v>591300</v>
      </c>
      <c r="G17" s="45"/>
      <c r="H17" s="45"/>
      <c r="I17" s="45"/>
      <c r="J17" s="27">
        <f>MIN(Comparación_precios24[[#This Row],[PROVEEDOR 1]:[PROVEEDOR 6]])</f>
        <v>432963</v>
      </c>
      <c r="K17" s="28">
        <f>IFERROR(AVERAGE(Comparación_precios24[[#This Row],[PROVEEDOR 1]:[PROVEEDOR 6]]),0)</f>
        <v>548222.70000000007</v>
      </c>
      <c r="L17" s="29">
        <f>MAX(Comparación_precios24[[#This Row],[PROVEEDOR 1]:[PROVEEDOR 6]])</f>
        <v>620405.10000000009</v>
      </c>
    </row>
    <row r="18" spans="2:12" s="2" customFormat="1" ht="87" thickBot="1" x14ac:dyDescent="0.3">
      <c r="B18" s="59" t="str">
        <f>'[1]software licencia'!$D$8</f>
        <v>MICROSOFT WINDOWS 10 PROFESIONAL A 64 BITS OEM FQC-08981</v>
      </c>
      <c r="C18" s="43">
        <v>3</v>
      </c>
      <c r="D18" s="44">
        <f>'[1]software licencia'!$H$8*3</f>
        <v>3022200</v>
      </c>
      <c r="E18" s="44">
        <f>'[1]software licencia'!$H$9*3</f>
        <v>4204800</v>
      </c>
      <c r="F18" s="44">
        <f>'[1]software licencia'!$H$10*3</f>
        <v>5847300</v>
      </c>
      <c r="G18" s="44"/>
      <c r="H18" s="42"/>
      <c r="I18" s="56"/>
      <c r="J18" s="27">
        <f>MIN(Comparación_precios24[[#This Row],[PROVEEDOR 1]:[PROVEEDOR 6]])</f>
        <v>3022200</v>
      </c>
      <c r="K18" s="8">
        <f>IFERROR(AVERAGE(Comparación_precios24[[#This Row],[PROVEEDOR 1]:[PROVEEDOR 6]]),0)</f>
        <v>4358100</v>
      </c>
      <c r="L18" s="14">
        <f>MAX(Comparación_precios24[[#This Row],[PROVEEDOR 1]:[PROVEEDOR 6]])</f>
        <v>5847300</v>
      </c>
    </row>
    <row r="19" spans="2:12" s="2" customFormat="1" ht="52.5" thickBot="1" x14ac:dyDescent="0.3">
      <c r="B19" s="59" t="str">
        <f>'[1]licencia visual'!$D$8</f>
        <v>Licencia Visual Studio 2022 Enterprise</v>
      </c>
      <c r="C19" s="43">
        <v>3</v>
      </c>
      <c r="D19" s="44">
        <f>'[1]licencia visual'!$H$8*3</f>
        <v>5116328.37</v>
      </c>
      <c r="E19" s="44">
        <f>'[1]licencia visual'!$H$9*3</f>
        <v>5116328.37</v>
      </c>
      <c r="F19" s="44">
        <f>'[1]licencia visual'!$H$10*3</f>
        <v>5116328.37</v>
      </c>
      <c r="G19" s="44"/>
      <c r="H19" s="42"/>
      <c r="I19" s="56"/>
      <c r="J19" s="27">
        <f>MIN(Comparación_precios24[[#This Row],[PROVEEDOR 1]:[PROVEEDOR 6]])</f>
        <v>5116328.37</v>
      </c>
      <c r="K19" s="8">
        <f>IFERROR(AVERAGE(Comparación_precios24[[#This Row],[PROVEEDOR 1]:[PROVEEDOR 6]]),0)</f>
        <v>5116328.37</v>
      </c>
      <c r="L19" s="14">
        <f>MAX(Comparación_precios24[[#This Row],[PROVEEDOR 1]:[PROVEEDOR 6]])</f>
        <v>5116328.37</v>
      </c>
    </row>
    <row r="20" spans="2:12" s="2" customFormat="1" ht="69.75" thickBot="1" x14ac:dyDescent="0.3">
      <c r="B20" s="59" t="str">
        <f>'[1]windows 11 licencia'!$D$8</f>
        <v xml:space="preserve">Licencia Windows 11 Pro ESD Vitalicia
</v>
      </c>
      <c r="C20" s="43">
        <v>3</v>
      </c>
      <c r="D20" s="44">
        <f>'[1]licencia visual'!$H$8*3</f>
        <v>5116328.37</v>
      </c>
      <c r="E20" s="44">
        <f>'[1]licencia visual'!$H$9*3</f>
        <v>5116328.37</v>
      </c>
      <c r="F20" s="44">
        <f>'[1]licencia visual'!$H$10*3</f>
        <v>5116328.37</v>
      </c>
      <c r="G20" s="44"/>
      <c r="H20" s="42"/>
      <c r="I20" s="56"/>
      <c r="J20" s="27">
        <f>MIN(Comparación_precios24[[#This Row],[PROVEEDOR 1]:[PROVEEDOR 6]])</f>
        <v>5116328.37</v>
      </c>
      <c r="K20" s="8">
        <f>IFERROR(AVERAGE(Comparación_precios24[[#This Row],[PROVEEDOR 1]:[PROVEEDOR 6]]),0)</f>
        <v>5116328.37</v>
      </c>
      <c r="L20" s="14">
        <f>MAX(Comparación_precios24[[#This Row],[PROVEEDOR 1]:[PROVEEDOR 6]])</f>
        <v>5116328.37</v>
      </c>
    </row>
    <row r="21" spans="2:12" s="2" customFormat="1" ht="69.75" thickBot="1" x14ac:dyDescent="0.3">
      <c r="B21" s="59" t="str">
        <f>'[1]licencia SQL'!$D$8</f>
        <v>Licencia de dispositivo SQL Server 2022 - 1 CAL</v>
      </c>
      <c r="C21" s="43">
        <v>3</v>
      </c>
      <c r="D21" s="44">
        <f>'[1]licencia SQL'!$H$8*3</f>
        <v>1741910.67</v>
      </c>
      <c r="E21" s="44">
        <f>'[1]licencia SQL'!$H$9*3</f>
        <v>8498952</v>
      </c>
      <c r="F21" s="44">
        <f>'[1]windows 11 licencia'!$H$10*3</f>
        <v>3531598.38</v>
      </c>
      <c r="G21" s="44"/>
      <c r="H21" s="42"/>
      <c r="I21" s="56"/>
      <c r="J21" s="27">
        <f>MIN(Comparación_precios24[[#This Row],[PROVEEDOR 1]:[PROVEEDOR 6]])</f>
        <v>1741910.67</v>
      </c>
      <c r="K21" s="8">
        <f>IFERROR(AVERAGE(Comparación_precios24[[#This Row],[PROVEEDOR 1]:[PROVEEDOR 6]]),0)</f>
        <v>4590820.3500000006</v>
      </c>
      <c r="L21" s="14">
        <f>MAX(Comparación_precios24[[#This Row],[PROVEEDOR 1]:[PROVEEDOR 6]])</f>
        <v>8498952</v>
      </c>
    </row>
    <row r="22" spans="2:12" s="2" customFormat="1" ht="19.5" thickBot="1" x14ac:dyDescent="0.3">
      <c r="B22" s="42"/>
      <c r="C22" s="43"/>
      <c r="D22" s="44"/>
      <c r="E22" s="44"/>
      <c r="F22" s="44"/>
      <c r="G22" s="44"/>
      <c r="H22" s="42"/>
      <c r="I22" s="56"/>
      <c r="J22" s="27">
        <f>MIN(Comparación_precios24[[#This Row],[PROVEEDOR 1]:[PROVEEDOR 6]])</f>
        <v>0</v>
      </c>
      <c r="K22" s="8">
        <f>IFERROR(AVERAGE(Comparación_precios24[[#This Row],[PROVEEDOR 1]:[PROVEEDOR 6]]),0)</f>
        <v>0</v>
      </c>
      <c r="L22" s="14">
        <f>MAX(Comparación_precios24[[#This Row],[PROVEEDOR 1]:[PROVEEDOR 6]])</f>
        <v>0</v>
      </c>
    </row>
    <row r="23" spans="2:12" s="2" customFormat="1" ht="19.5" thickBot="1" x14ac:dyDescent="0.3">
      <c r="B23" s="42"/>
      <c r="C23" s="43"/>
      <c r="D23" s="44"/>
      <c r="E23" s="44"/>
      <c r="F23" s="44"/>
      <c r="G23" s="44"/>
      <c r="H23" s="42"/>
      <c r="I23" s="56"/>
      <c r="J23" s="27">
        <f>MIN(Comparación_precios24[[#This Row],[PROVEEDOR 1]:[PROVEEDOR 6]])</f>
        <v>0</v>
      </c>
      <c r="K23" s="8">
        <f>IFERROR(AVERAGE(Comparación_precios24[[#This Row],[PROVEEDOR 1]:[PROVEEDOR 6]]),0)</f>
        <v>0</v>
      </c>
      <c r="L23" s="14">
        <f>MAX(Comparación_precios24[[#This Row],[PROVEEDOR 1]:[PROVEEDOR 6]])</f>
        <v>0</v>
      </c>
    </row>
    <row r="24" spans="2:12" s="2" customFormat="1" ht="19.5" thickBot="1" x14ac:dyDescent="0.3">
      <c r="B24" s="42"/>
      <c r="C24" s="43"/>
      <c r="D24" s="44"/>
      <c r="E24" s="44"/>
      <c r="F24" s="44"/>
      <c r="G24" s="44"/>
      <c r="H24" s="42"/>
      <c r="I24" s="56"/>
      <c r="J24" s="27">
        <f>MIN(Comparación_precios24[[#This Row],[PROVEEDOR 1]:[PROVEEDOR 6]])</f>
        <v>0</v>
      </c>
      <c r="K24" s="8">
        <f>IFERROR(AVERAGE(Comparación_precios24[[#This Row],[PROVEEDOR 1]:[PROVEEDOR 6]]),0)</f>
        <v>0</v>
      </c>
      <c r="L24" s="14">
        <f>MAX(Comparación_precios24[[#This Row],[PROVEEDOR 1]:[PROVEEDOR 6]])</f>
        <v>0</v>
      </c>
    </row>
    <row r="25" spans="2:12" s="2" customFormat="1" ht="19.5" thickBot="1" x14ac:dyDescent="0.3">
      <c r="B25" s="33" t="s">
        <v>15</v>
      </c>
      <c r="C25" s="33"/>
      <c r="D25" s="34">
        <f>ROUND(SUMPRODUCT(Comparación_precios24[[CANTIDAD]:[CANTIDAD]],Comparación_precios24[PROVEEDOR 1]),2)</f>
        <v>115851065.03</v>
      </c>
      <c r="E25" s="34">
        <f>ROUND(SUMPRODUCT(Comparación_precios24[[CANTIDAD]:[CANTIDAD]],Comparación_precios24[PROVEEDOR 2]),2)</f>
        <v>282008354.22000003</v>
      </c>
      <c r="F25" s="34">
        <f>ROUND(SUMPRODUCT(Comparación_precios24[[CANTIDAD]:[CANTIDAD]],Comparación_precios24[PROVEEDOR 3]),2)</f>
        <v>248436291.50999999</v>
      </c>
      <c r="G25" s="34">
        <f>ROUND(SUMPRODUCT(Comparación_precios24[[CANTIDAD]:[CANTIDAD]],Comparación_precios24[PROVEEDOR 4]),2)</f>
        <v>0</v>
      </c>
      <c r="H25" s="34">
        <f>ROUND(SUMPRODUCT(Comparación_precios24[[CANTIDAD]:[CANTIDAD]],Comparación_precios24[PROVEEDOR 5]),2)</f>
        <v>0</v>
      </c>
      <c r="I25" s="34">
        <f>ROUND(SUMPRODUCT(Comparación_precios24[[CANTIDAD]:[CANTIDAD]],Comparación_precios24[PROVEEDOR 6]),2)</f>
        <v>0</v>
      </c>
      <c r="J25" s="35"/>
      <c r="K25" s="35"/>
      <c r="L25" s="36"/>
    </row>
    <row r="26" spans="2:12" s="2" customFormat="1" x14ac:dyDescent="0.2">
      <c r="B26" s="1"/>
      <c r="C26" s="1"/>
      <c r="D26" s="1"/>
      <c r="E26" s="1"/>
      <c r="F26" s="1"/>
      <c r="G26" s="1"/>
      <c r="H26" s="1"/>
      <c r="I26" s="1"/>
      <c r="J26" s="1"/>
      <c r="K26" s="3"/>
      <c r="L26" s="3"/>
    </row>
    <row r="27" spans="2:12" s="2" customFormat="1" ht="15" thickBot="1" x14ac:dyDescent="0.25">
      <c r="B27" s="1"/>
      <c r="C27" s="1"/>
      <c r="D27" s="1"/>
      <c r="E27" s="1"/>
      <c r="F27" s="1"/>
      <c r="G27" s="1"/>
      <c r="H27" s="1"/>
      <c r="I27" s="1"/>
      <c r="J27" s="1"/>
      <c r="K27" s="3"/>
      <c r="L27" s="3"/>
    </row>
    <row r="28" spans="2:12" s="2" customFormat="1" ht="48.6" customHeight="1" x14ac:dyDescent="0.2">
      <c r="B28" s="79" t="s">
        <v>16</v>
      </c>
      <c r="C28" s="80"/>
      <c r="D28" s="21"/>
      <c r="E28" s="21"/>
      <c r="F28" s="21"/>
      <c r="G28" s="21"/>
      <c r="H28" s="21"/>
    </row>
    <row r="29" spans="2:12" s="2" customFormat="1" ht="33.6" customHeight="1" x14ac:dyDescent="0.2">
      <c r="B29" s="81" t="s">
        <v>17</v>
      </c>
      <c r="C29" s="82"/>
      <c r="D29" s="47"/>
      <c r="E29" s="15"/>
      <c r="F29" s="15"/>
      <c r="G29" s="15"/>
      <c r="H29" s="15"/>
      <c r="I29" s="15"/>
    </row>
    <row r="30" spans="2:12" s="2" customFormat="1" ht="25.9" customHeight="1" x14ac:dyDescent="0.2">
      <c r="B30" s="81" t="s">
        <v>24</v>
      </c>
      <c r="C30" s="82"/>
      <c r="D30" s="48"/>
      <c r="E30" s="22"/>
      <c r="F30" s="22"/>
      <c r="G30" s="15"/>
      <c r="H30" s="22"/>
      <c r="I30" s="22"/>
    </row>
    <row r="31" spans="2:12" s="2" customFormat="1" ht="18" customHeight="1" x14ac:dyDescent="0.2">
      <c r="B31" s="81" t="s">
        <v>28</v>
      </c>
      <c r="C31" s="82"/>
      <c r="D31" s="49"/>
      <c r="E31" s="23"/>
      <c r="F31" s="23"/>
      <c r="G31" s="23"/>
      <c r="H31" s="23"/>
      <c r="I31" s="23"/>
    </row>
    <row r="32" spans="2:12" s="2" customFormat="1" ht="18.75" x14ac:dyDescent="0.2">
      <c r="B32" s="81"/>
      <c r="C32" s="82"/>
      <c r="D32" s="50"/>
      <c r="E32" s="24"/>
      <c r="F32" s="24"/>
      <c r="G32" s="24"/>
      <c r="H32" s="24"/>
      <c r="I32" s="24"/>
    </row>
    <row r="33" spans="2:12" s="2" customFormat="1" ht="18.75" x14ac:dyDescent="0.2">
      <c r="B33" s="81"/>
      <c r="C33" s="82"/>
      <c r="D33" s="51"/>
      <c r="E33" s="25"/>
      <c r="F33" s="25"/>
      <c r="G33" s="25"/>
      <c r="H33" s="25"/>
      <c r="I33" s="25"/>
    </row>
    <row r="34" spans="2:12" ht="18.75" x14ac:dyDescent="0.2">
      <c r="B34" s="81"/>
      <c r="C34" s="82"/>
      <c r="D34" s="52"/>
      <c r="E34" s="26"/>
      <c r="F34" s="26"/>
      <c r="G34" s="26"/>
      <c r="H34" s="26"/>
      <c r="I34" s="26"/>
      <c r="J34" s="2"/>
      <c r="K34" s="1"/>
      <c r="L34" s="1"/>
    </row>
    <row r="35" spans="2:12" x14ac:dyDescent="0.2">
      <c r="J35" s="3"/>
      <c r="K35" s="1"/>
      <c r="L35" s="1"/>
    </row>
    <row r="36" spans="2:12" x14ac:dyDescent="0.2">
      <c r="J36" s="3"/>
      <c r="K36" s="1"/>
      <c r="L36" s="1"/>
    </row>
    <row r="37" spans="2:12" ht="18.75" x14ac:dyDescent="0.2">
      <c r="D37" s="37"/>
      <c r="E37" s="37"/>
      <c r="F37" s="38"/>
      <c r="G37" s="39"/>
      <c r="H37" s="40"/>
      <c r="I37" s="37"/>
      <c r="J37" s="3"/>
      <c r="K37" s="1"/>
      <c r="L37" s="1"/>
    </row>
    <row r="38" spans="2:12" ht="18.75" x14ac:dyDescent="0.2">
      <c r="D38" s="37"/>
      <c r="E38" s="37"/>
      <c r="F38" s="38"/>
      <c r="G38" s="41"/>
      <c r="H38" s="40"/>
      <c r="I38" s="37"/>
    </row>
    <row r="39" spans="2:12" ht="18.75" x14ac:dyDescent="0.2">
      <c r="D39" s="37"/>
      <c r="E39" s="37"/>
      <c r="F39" s="38"/>
      <c r="G39" s="41"/>
      <c r="H39" s="40"/>
      <c r="I39" s="37"/>
    </row>
    <row r="40" spans="2:12" ht="18.75" x14ac:dyDescent="0.2">
      <c r="D40" s="37"/>
      <c r="E40" s="37"/>
      <c r="F40" s="38"/>
      <c r="G40" s="41"/>
      <c r="H40" s="40"/>
      <c r="I40" s="37"/>
    </row>
    <row r="41" spans="2:12" ht="18.75" x14ac:dyDescent="0.2">
      <c r="D41" s="37"/>
      <c r="E41" s="37"/>
      <c r="F41" s="38"/>
      <c r="G41" s="41"/>
      <c r="H41" s="40"/>
      <c r="I41" s="37"/>
    </row>
    <row r="42" spans="2:12" ht="18.75" x14ac:dyDescent="0.2">
      <c r="D42" s="37"/>
      <c r="E42" s="37"/>
      <c r="F42" s="38"/>
      <c r="G42" s="41"/>
      <c r="H42" s="40"/>
      <c r="I42" s="37"/>
    </row>
  </sheetData>
  <mergeCells count="5">
    <mergeCell ref="J7:L7"/>
    <mergeCell ref="B28:C28"/>
    <mergeCell ref="B29:C29"/>
    <mergeCell ref="B30:C30"/>
    <mergeCell ref="B31:C34"/>
  </mergeCells>
  <conditionalFormatting sqref="B8:C8">
    <cfRule type="expression" dxfId="3" priority="1">
      <formula>AND(B$25=MIN($D$25:$I$25),B$25&lt;&gt;0)</formula>
    </cfRule>
  </conditionalFormatting>
  <conditionalFormatting sqref="D8:I8 D25:I25">
    <cfRule type="expression" dxfId="2" priority="2">
      <formula>AND(D$25=MIN($D$25:$I$25),D$25&lt;&gt;0)</formula>
    </cfRule>
  </conditionalFormatting>
  <conditionalFormatting sqref="D9:I24">
    <cfRule type="expression" dxfId="1" priority="3">
      <formula>AND(D$25=MIN($D$25:$I$25),D$25&lt;&gt;0)</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I41"/>
  <sheetViews>
    <sheetView topLeftCell="A6" workbookViewId="0">
      <selection activeCell="B28" sqref="B28:I30"/>
    </sheetView>
  </sheetViews>
  <sheetFormatPr defaultColWidth="11.96484375" defaultRowHeight="10.5" x14ac:dyDescent="0.1"/>
  <cols>
    <col min="2" max="2" width="19.890625" customWidth="1"/>
    <col min="4" max="9" width="18.5390625" customWidth="1"/>
  </cols>
  <sheetData>
    <row r="6" spans="2:9" ht="11.25" thickBot="1" x14ac:dyDescent="0.15"/>
    <row r="7" spans="2:9" ht="19.5" thickBot="1" x14ac:dyDescent="0.15">
      <c r="B7" s="45" t="s">
        <v>30</v>
      </c>
      <c r="C7" s="46">
        <v>1</v>
      </c>
      <c r="D7" s="45">
        <v>498</v>
      </c>
      <c r="E7" s="45">
        <v>420</v>
      </c>
      <c r="F7" s="45">
        <v>450</v>
      </c>
      <c r="G7" s="45">
        <v>230</v>
      </c>
      <c r="H7" s="45">
        <v>600</v>
      </c>
      <c r="I7" s="45">
        <v>520</v>
      </c>
    </row>
    <row r="8" spans="2:9" ht="19.5" thickBot="1" x14ac:dyDescent="0.15">
      <c r="B8" s="45" t="s">
        <v>31</v>
      </c>
      <c r="C8" s="46">
        <v>2</v>
      </c>
      <c r="D8" s="45">
        <v>450</v>
      </c>
      <c r="E8" s="45">
        <v>220</v>
      </c>
      <c r="F8" s="45">
        <v>405</v>
      </c>
      <c r="G8" s="45">
        <v>495</v>
      </c>
      <c r="H8" s="45">
        <v>540</v>
      </c>
      <c r="I8" s="45">
        <v>200</v>
      </c>
    </row>
    <row r="9" spans="2:9" ht="19.5" thickBot="1" x14ac:dyDescent="0.15">
      <c r="B9" s="45" t="s">
        <v>32</v>
      </c>
      <c r="C9" s="46">
        <v>2</v>
      </c>
      <c r="D9" s="45">
        <v>650</v>
      </c>
      <c r="E9" s="45">
        <v>620</v>
      </c>
      <c r="F9" s="45">
        <v>666</v>
      </c>
      <c r="G9" s="45">
        <v>400</v>
      </c>
      <c r="H9" s="45">
        <v>648</v>
      </c>
      <c r="I9" s="45">
        <v>452.4</v>
      </c>
    </row>
    <row r="10" spans="2:9" ht="19.5" thickBot="1" x14ac:dyDescent="0.15">
      <c r="B10" s="45" t="s">
        <v>33</v>
      </c>
      <c r="C10" s="46">
        <v>1</v>
      </c>
      <c r="D10" s="45">
        <v>585</v>
      </c>
      <c r="E10" s="45">
        <v>558</v>
      </c>
      <c r="F10" s="45">
        <v>320</v>
      </c>
      <c r="G10" s="45">
        <v>360</v>
      </c>
      <c r="H10" s="45">
        <v>583.20000000000005</v>
      </c>
      <c r="I10" s="45">
        <v>407.16</v>
      </c>
    </row>
    <row r="11" spans="2:9" ht="19.5" thickBot="1" x14ac:dyDescent="0.15">
      <c r="B11" s="45" t="s">
        <v>34</v>
      </c>
      <c r="C11" s="46">
        <v>3</v>
      </c>
      <c r="D11" s="45">
        <v>526.5</v>
      </c>
      <c r="E11" s="45">
        <v>502.2</v>
      </c>
      <c r="F11" s="45">
        <v>539.46</v>
      </c>
      <c r="G11" s="45">
        <v>300</v>
      </c>
      <c r="H11" s="45">
        <v>500</v>
      </c>
      <c r="I11" s="45">
        <v>366.44</v>
      </c>
    </row>
    <row r="12" spans="2:9" ht="19.5" thickBot="1" x14ac:dyDescent="0.15">
      <c r="B12" s="45" t="s">
        <v>35</v>
      </c>
      <c r="C12" s="46">
        <v>1</v>
      </c>
      <c r="D12" s="45">
        <v>473.8</v>
      </c>
      <c r="E12" s="45">
        <v>200</v>
      </c>
      <c r="F12" s="45">
        <v>485.51</v>
      </c>
      <c r="G12" s="45">
        <v>291.60000000000002</v>
      </c>
      <c r="H12" s="45">
        <v>270</v>
      </c>
      <c r="I12" s="45">
        <v>220</v>
      </c>
    </row>
    <row r="19" spans="2:9" ht="18.75" x14ac:dyDescent="0.1">
      <c r="D19" s="47">
        <v>30</v>
      </c>
      <c r="E19" s="15">
        <v>10</v>
      </c>
      <c r="F19" s="15">
        <v>15</v>
      </c>
      <c r="G19" s="15">
        <v>15</v>
      </c>
      <c r="H19" s="15">
        <v>15</v>
      </c>
      <c r="I19" s="15">
        <v>10</v>
      </c>
    </row>
    <row r="20" spans="2:9" ht="18.75" x14ac:dyDescent="0.1">
      <c r="D20" s="48">
        <v>10</v>
      </c>
      <c r="E20" s="22">
        <v>10</v>
      </c>
      <c r="F20" s="22">
        <v>10</v>
      </c>
      <c r="G20" s="15" t="s">
        <v>36</v>
      </c>
      <c r="H20" s="22">
        <v>5</v>
      </c>
      <c r="I20" s="22" t="s">
        <v>36</v>
      </c>
    </row>
    <row r="21" spans="2:9" ht="18.75" x14ac:dyDescent="0.1">
      <c r="D21" s="49" t="s">
        <v>37</v>
      </c>
      <c r="E21" s="23" t="s">
        <v>37</v>
      </c>
      <c r="F21" s="23" t="s">
        <v>38</v>
      </c>
      <c r="G21" s="23" t="s">
        <v>39</v>
      </c>
      <c r="H21" s="23" t="s">
        <v>38</v>
      </c>
      <c r="I21" s="23" t="s">
        <v>38</v>
      </c>
    </row>
    <row r="22" spans="2:9" ht="18.75" x14ac:dyDescent="0.1">
      <c r="D22" s="50" t="s">
        <v>40</v>
      </c>
      <c r="E22" s="24" t="s">
        <v>40</v>
      </c>
      <c r="F22" s="24" t="s">
        <v>41</v>
      </c>
      <c r="G22" s="24" t="s">
        <v>38</v>
      </c>
      <c r="H22" s="24" t="s">
        <v>41</v>
      </c>
      <c r="I22" s="24" t="s">
        <v>41</v>
      </c>
    </row>
    <row r="23" spans="2:9" ht="18.75" x14ac:dyDescent="0.1">
      <c r="D23" s="51"/>
      <c r="E23" s="25"/>
      <c r="F23" s="25"/>
      <c r="G23" s="25"/>
      <c r="H23" s="25"/>
      <c r="I23" s="25"/>
    </row>
    <row r="24" spans="2:9" ht="18.75" x14ac:dyDescent="0.1">
      <c r="D24" s="52"/>
      <c r="E24" s="26"/>
      <c r="F24" s="26"/>
      <c r="G24" s="26"/>
      <c r="H24" s="26"/>
      <c r="I24" s="26"/>
    </row>
    <row r="27" spans="2:9" ht="11.25" thickBot="1" x14ac:dyDescent="0.15"/>
    <row r="28" spans="2:9" ht="19.5" thickBot="1" x14ac:dyDescent="0.15">
      <c r="B28" s="45" t="s">
        <v>42</v>
      </c>
      <c r="C28" s="46">
        <v>1</v>
      </c>
      <c r="D28" s="45">
        <v>340</v>
      </c>
      <c r="E28" s="45">
        <v>330</v>
      </c>
      <c r="F28" s="45">
        <v>440</v>
      </c>
      <c r="G28" s="45">
        <v>400</v>
      </c>
      <c r="H28" s="45">
        <v>320</v>
      </c>
      <c r="I28" s="45">
        <v>330</v>
      </c>
    </row>
    <row r="29" spans="2:9" ht="19.5" thickBot="1" x14ac:dyDescent="0.15">
      <c r="B29" s="45" t="s">
        <v>43</v>
      </c>
      <c r="C29" s="46">
        <v>1</v>
      </c>
      <c r="D29" s="45">
        <v>220</v>
      </c>
      <c r="E29" s="45">
        <v>230</v>
      </c>
      <c r="F29" s="45">
        <v>240</v>
      </c>
      <c r="G29" s="45">
        <v>220</v>
      </c>
      <c r="H29" s="45">
        <v>219</v>
      </c>
      <c r="I29" s="45">
        <v>218</v>
      </c>
    </row>
    <row r="30" spans="2:9" ht="19.5" thickBot="1" x14ac:dyDescent="0.15">
      <c r="B30" s="45" t="s">
        <v>44</v>
      </c>
      <c r="C30" s="46">
        <v>2</v>
      </c>
      <c r="D30" s="45">
        <v>560</v>
      </c>
      <c r="E30" s="45">
        <v>580</v>
      </c>
      <c r="F30" s="45">
        <v>550</v>
      </c>
      <c r="G30" s="45">
        <v>520</v>
      </c>
      <c r="H30" s="45">
        <v>551</v>
      </c>
      <c r="I30" s="45">
        <v>550</v>
      </c>
    </row>
    <row r="35" spans="2:2" ht="13.5" x14ac:dyDescent="0.15">
      <c r="B35" s="55" t="s">
        <v>45</v>
      </c>
    </row>
    <row r="36" spans="2:2" ht="18.75" x14ac:dyDescent="0.1">
      <c r="B36" s="53">
        <v>250</v>
      </c>
    </row>
    <row r="37" spans="2:2" ht="18.75" x14ac:dyDescent="0.1">
      <c r="B37" s="54">
        <v>440</v>
      </c>
    </row>
    <row r="38" spans="2:2" ht="18.75" x14ac:dyDescent="0.1">
      <c r="B38" s="54">
        <v>440</v>
      </c>
    </row>
    <row r="39" spans="2:2" ht="18.75" x14ac:dyDescent="0.1">
      <c r="B39" s="54">
        <v>350</v>
      </c>
    </row>
    <row r="40" spans="2:2" ht="18.75" x14ac:dyDescent="0.1">
      <c r="B40" s="54">
        <v>420</v>
      </c>
    </row>
    <row r="41" spans="2:2" ht="18.75" x14ac:dyDescent="0.1">
      <c r="B41" s="54">
        <v>199</v>
      </c>
    </row>
  </sheetData>
  <conditionalFormatting sqref="D7:I12 D28:I30">
    <cfRule type="expression" dxfId="0" priority="2">
      <formula>AND(D$15=MIN($D$15:$I$15),D$15&lt;&gt;0)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4</vt:i4>
      </vt:variant>
    </vt:vector>
  </HeadingPairs>
  <TitlesOfParts>
    <vt:vector size="4" baseType="lpstr">
      <vt:lpstr>- AYUDA -</vt:lpstr>
      <vt:lpstr>Precios </vt:lpstr>
      <vt:lpstr>Precios  (2)</vt:lpstr>
      <vt:lpstr>Soporte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Planilla excel</dc:creator>
  <cp:keywords/>
  <dc:description/>
  <cp:lastModifiedBy>Martin Lee Moya Llano</cp:lastModifiedBy>
  <cp:revision/>
  <dcterms:created xsi:type="dcterms:W3CDTF">2013-10-17T12:18:53Z</dcterms:created>
  <dcterms:modified xsi:type="dcterms:W3CDTF">2024-06-27T19:54:11Z</dcterms:modified>
  <cp:category/>
  <cp:contentStatus/>
</cp:coreProperties>
</file>